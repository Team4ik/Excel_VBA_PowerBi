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ЭтаКнига" defaultThemeVersion="124226"/>
  <bookViews>
    <workbookView xWindow="-108" yWindow="-108" windowWidth="22776" windowHeight="13176"/>
  </bookViews>
  <sheets>
    <sheet name="Price_list" sheetId="2" r:id="rId1"/>
    <sheet name="знижки" sheetId="3" r:id="rId2"/>
  </sheets>
  <definedNames>
    <definedName name="_xlnm.Print_Titles" localSheetId="0">Price_list!$1:$10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2" l="1"/>
  <c r="G19" i="2" l="1"/>
  <c r="G20" i="2"/>
  <c r="G21" i="2"/>
  <c r="G22" i="2"/>
  <c r="G18" i="2"/>
  <c r="G2" i="3" l="1"/>
  <c r="F2" i="3"/>
  <c r="F34" i="2" l="1"/>
  <c r="F61" i="2" l="1"/>
  <c r="F62" i="2"/>
  <c r="F85" i="2"/>
  <c r="F131" i="2"/>
  <c r="F165" i="2"/>
  <c r="F166" i="2"/>
  <c r="F167" i="2"/>
  <c r="F169" i="2"/>
  <c r="F170" i="2"/>
  <c r="F171" i="2"/>
  <c r="F118" i="2"/>
  <c r="F119" i="2"/>
  <c r="F172" i="2"/>
  <c r="F146" i="2"/>
  <c r="F38" i="2"/>
  <c r="F59" i="2"/>
  <c r="F121" i="2"/>
  <c r="F71" i="2"/>
  <c r="F147" i="2"/>
  <c r="F148" i="2"/>
  <c r="F64" i="2"/>
  <c r="F132" i="2"/>
  <c r="F149" i="2"/>
  <c r="F72" i="2"/>
  <c r="F124" i="2"/>
  <c r="F115" i="2"/>
  <c r="F173" i="2"/>
  <c r="F174" i="2"/>
  <c r="F150" i="2"/>
  <c r="F144" i="2"/>
  <c r="F39" i="2"/>
  <c r="F65" i="2"/>
  <c r="F151" i="2"/>
  <c r="F40" i="2"/>
  <c r="F175" i="2"/>
  <c r="F152" i="2"/>
  <c r="F26" i="2"/>
  <c r="F66" i="2"/>
  <c r="F41" i="2"/>
  <c r="F127" i="2"/>
  <c r="F128" i="2"/>
  <c r="F84" i="2"/>
  <c r="F120" i="2"/>
  <c r="F125" i="2"/>
  <c r="F116" i="2"/>
  <c r="F43" i="2"/>
  <c r="F117" i="2"/>
  <c r="F54" i="2"/>
  <c r="F154" i="2"/>
  <c r="F86" i="2"/>
  <c r="F126" i="2"/>
  <c r="F133" i="2"/>
  <c r="F134" i="2"/>
  <c r="F135" i="2"/>
  <c r="F67" i="2"/>
  <c r="F164" i="2"/>
  <c r="F58" i="2"/>
  <c r="F44" i="2"/>
  <c r="F73" i="2"/>
  <c r="F129" i="2"/>
  <c r="F87" i="2"/>
  <c r="F136" i="2"/>
  <c r="F27" i="2"/>
  <c r="F68" i="2"/>
  <c r="F69" i="2"/>
  <c r="F45" i="2"/>
  <c r="F145" i="2"/>
  <c r="F137" i="2"/>
  <c r="F36" i="2"/>
  <c r="F46" i="2"/>
  <c r="F47" i="2"/>
  <c r="F95" i="2"/>
  <c r="F96" i="2"/>
  <c r="F97" i="2"/>
  <c r="F155" i="2"/>
  <c r="F156" i="2"/>
  <c r="F157" i="2"/>
  <c r="F122" i="2"/>
  <c r="F123" i="2"/>
  <c r="F42" i="2"/>
  <c r="F130" i="2"/>
  <c r="F138" i="2"/>
  <c r="F158" i="2"/>
  <c r="F159" i="2"/>
  <c r="F77" i="2"/>
  <c r="F78" i="2"/>
  <c r="F88" i="2"/>
  <c r="F93" i="2"/>
  <c r="F74" i="2"/>
  <c r="F75" i="2"/>
  <c r="F108" i="2"/>
  <c r="F28" i="2"/>
  <c r="F79" i="2"/>
  <c r="F80" i="2"/>
  <c r="F109" i="2"/>
  <c r="F110" i="2"/>
  <c r="F81" i="2"/>
  <c r="F29" i="2"/>
  <c r="F111" i="2"/>
  <c r="F70" i="2"/>
  <c r="F94" i="2"/>
  <c r="F82" i="2"/>
  <c r="F37" i="2"/>
  <c r="F90" i="2"/>
  <c r="F91" i="2"/>
  <c r="F63" i="2"/>
  <c r="F139" i="2"/>
  <c r="F160" i="2"/>
  <c r="F112" i="2"/>
  <c r="F113" i="2"/>
  <c r="F114" i="2"/>
  <c r="F141" i="2"/>
  <c r="F161" i="2"/>
  <c r="F140" i="2"/>
  <c r="F83" i="2"/>
  <c r="F92" i="2"/>
  <c r="F76" i="2"/>
  <c r="F142" i="2"/>
  <c r="F162" i="2"/>
  <c r="F33" i="2"/>
  <c r="F163" i="2"/>
  <c r="F89" i="2"/>
  <c r="F51" i="2"/>
  <c r="F52" i="2"/>
  <c r="F48" i="2"/>
  <c r="F49" i="2"/>
  <c r="F50" i="2"/>
  <c r="F99" i="2"/>
  <c r="F98" i="2"/>
  <c r="F103" i="2"/>
  <c r="F102" i="2"/>
  <c r="F100" i="2"/>
  <c r="F101" i="2"/>
  <c r="F105" i="2"/>
  <c r="F106" i="2"/>
  <c r="F107" i="2"/>
  <c r="F30" i="2"/>
  <c r="F31" i="2"/>
  <c r="F32" i="2"/>
  <c r="F57" i="2"/>
  <c r="F56" i="2"/>
  <c r="F55" i="2"/>
  <c r="F60" i="2"/>
  <c r="E146" i="2" l="1"/>
  <c r="E119" i="2"/>
  <c r="G157" i="2"/>
  <c r="E157" i="2"/>
  <c r="E122" i="2"/>
  <c r="G146" i="2"/>
  <c r="G119" i="2"/>
  <c r="G122" i="2"/>
  <c r="E88" i="2"/>
  <c r="E75" i="2"/>
  <c r="E80" i="2"/>
  <c r="E82" i="2"/>
  <c r="E76" i="2"/>
  <c r="E162" i="2"/>
  <c r="E163" i="2"/>
  <c r="E48" i="2"/>
  <c r="E103" i="2"/>
  <c r="E106" i="2"/>
  <c r="E55" i="2"/>
  <c r="G130" i="2"/>
  <c r="G158" i="2"/>
  <c r="G77" i="2"/>
  <c r="G93" i="2"/>
  <c r="G108" i="2"/>
  <c r="G109" i="2"/>
  <c r="G37" i="2"/>
  <c r="G139" i="2"/>
  <c r="G141" i="2"/>
  <c r="G49" i="2"/>
  <c r="G105" i="2"/>
  <c r="G32" i="2"/>
  <c r="E130" i="2"/>
  <c r="E158" i="2"/>
  <c r="E77" i="2"/>
  <c r="E93" i="2"/>
  <c r="E108" i="2"/>
  <c r="E109" i="2"/>
  <c r="E37" i="2"/>
  <c r="E139" i="2"/>
  <c r="E141" i="2"/>
  <c r="E142" i="2"/>
  <c r="E89" i="2"/>
  <c r="E49" i="2"/>
  <c r="E102" i="2"/>
  <c r="E105" i="2"/>
  <c r="E32" i="2"/>
  <c r="G138" i="2"/>
  <c r="G78" i="2"/>
  <c r="G110" i="2"/>
  <c r="G70" i="2"/>
  <c r="G90" i="2"/>
  <c r="G83" i="2"/>
  <c r="G51" i="2"/>
  <c r="G50" i="2"/>
  <c r="G99" i="2"/>
  <c r="G100" i="2"/>
  <c r="G107" i="2"/>
  <c r="G57" i="2"/>
  <c r="G92" i="2"/>
  <c r="G52" i="2"/>
  <c r="G101" i="2"/>
  <c r="E138" i="2"/>
  <c r="E78" i="2"/>
  <c r="E110" i="2"/>
  <c r="E70" i="2"/>
  <c r="E90" i="2"/>
  <c r="E83" i="2"/>
  <c r="E51" i="2"/>
  <c r="E50" i="2"/>
  <c r="E99" i="2"/>
  <c r="E100" i="2"/>
  <c r="E107" i="2"/>
  <c r="E57" i="2"/>
  <c r="G74" i="2"/>
  <c r="G79" i="2"/>
  <c r="G81" i="2"/>
  <c r="G140" i="2"/>
  <c r="G98" i="2"/>
  <c r="E74" i="2"/>
  <c r="E79" i="2"/>
  <c r="E81" i="2"/>
  <c r="E140" i="2"/>
  <c r="E92" i="2"/>
  <c r="E52" i="2"/>
  <c r="E98" i="2"/>
  <c r="E101" i="2"/>
  <c r="G88" i="2"/>
  <c r="G75" i="2"/>
  <c r="G80" i="2"/>
  <c r="G82" i="2"/>
  <c r="G76" i="2"/>
  <c r="G162" i="2"/>
  <c r="G163" i="2"/>
  <c r="G48" i="2"/>
  <c r="G103" i="2"/>
  <c r="G106" i="2"/>
  <c r="G55" i="2"/>
  <c r="G142" i="2"/>
  <c r="G89" i="2"/>
  <c r="G102" i="2"/>
  <c r="E123" i="2"/>
  <c r="G123" i="2"/>
  <c r="E147" i="2"/>
  <c r="E115" i="2"/>
  <c r="E144" i="2"/>
  <c r="E151" i="2"/>
  <c r="E84" i="2"/>
  <c r="E116" i="2"/>
  <c r="E154" i="2"/>
  <c r="E126" i="2"/>
  <c r="E135" i="2"/>
  <c r="E58" i="2"/>
  <c r="E87" i="2"/>
  <c r="E145" i="2"/>
  <c r="E95" i="2"/>
  <c r="E97" i="2"/>
  <c r="E156" i="2"/>
  <c r="G148" i="2"/>
  <c r="G173" i="2"/>
  <c r="G40" i="2"/>
  <c r="G152" i="2"/>
  <c r="G120" i="2"/>
  <c r="G43" i="2"/>
  <c r="G86" i="2"/>
  <c r="G67" i="2"/>
  <c r="G44" i="2"/>
  <c r="G136" i="2"/>
  <c r="G69" i="2"/>
  <c r="G96" i="2"/>
  <c r="E148" i="2"/>
  <c r="E173" i="2"/>
  <c r="E40" i="2"/>
  <c r="E152" i="2"/>
  <c r="E120" i="2"/>
  <c r="E43" i="2"/>
  <c r="E86" i="2"/>
  <c r="E67" i="2"/>
  <c r="E44" i="2"/>
  <c r="E136" i="2"/>
  <c r="E69" i="2"/>
  <c r="E96" i="2"/>
  <c r="G121" i="2"/>
  <c r="G72" i="2"/>
  <c r="G174" i="2"/>
  <c r="G175" i="2"/>
  <c r="G26" i="2"/>
  <c r="G127" i="2"/>
  <c r="G117" i="2"/>
  <c r="G133" i="2"/>
  <c r="G164" i="2"/>
  <c r="G73" i="2"/>
  <c r="G45" i="2"/>
  <c r="G137" i="2"/>
  <c r="G47" i="2"/>
  <c r="E121" i="2"/>
  <c r="E72" i="2"/>
  <c r="E174" i="2"/>
  <c r="E175" i="2"/>
  <c r="E26" i="2"/>
  <c r="E127" i="2"/>
  <c r="E117" i="2"/>
  <c r="E133" i="2"/>
  <c r="E164" i="2"/>
  <c r="E73" i="2"/>
  <c r="E45" i="2"/>
  <c r="E137" i="2"/>
  <c r="E47" i="2"/>
  <c r="G71" i="2"/>
  <c r="G132" i="2"/>
  <c r="G124" i="2"/>
  <c r="G65" i="2"/>
  <c r="G66" i="2"/>
  <c r="G128" i="2"/>
  <c r="G125" i="2"/>
  <c r="G54" i="2"/>
  <c r="G134" i="2"/>
  <c r="G129" i="2"/>
  <c r="G68" i="2"/>
  <c r="G36" i="2"/>
  <c r="G155" i="2"/>
  <c r="E71" i="2"/>
  <c r="E132" i="2"/>
  <c r="E124" i="2"/>
  <c r="E65" i="2"/>
  <c r="E66" i="2"/>
  <c r="E128" i="2"/>
  <c r="E125" i="2"/>
  <c r="E54" i="2"/>
  <c r="E134" i="2"/>
  <c r="E129" i="2"/>
  <c r="E68" i="2"/>
  <c r="E36" i="2"/>
  <c r="E155" i="2"/>
  <c r="G147" i="2"/>
  <c r="G115" i="2"/>
  <c r="G144" i="2"/>
  <c r="G151" i="2"/>
  <c r="G84" i="2"/>
  <c r="G116" i="2"/>
  <c r="G154" i="2"/>
  <c r="G126" i="2"/>
  <c r="G135" i="2"/>
  <c r="G58" i="2"/>
  <c r="G87" i="2"/>
  <c r="G145" i="2"/>
  <c r="G95" i="2"/>
  <c r="G97" i="2"/>
  <c r="G156" i="2"/>
  <c r="E59" i="2"/>
  <c r="G59" i="2"/>
  <c r="E166" i="2"/>
  <c r="G166" i="2"/>
  <c r="E85" i="2"/>
  <c r="E118" i="2"/>
  <c r="G118" i="2"/>
  <c r="G114" i="2"/>
  <c r="E114" i="2"/>
  <c r="E91" i="2"/>
  <c r="G91" i="2"/>
  <c r="E94" i="2"/>
  <c r="G94" i="2"/>
  <c r="G169" i="2"/>
  <c r="G165" i="2"/>
  <c r="E169" i="2"/>
  <c r="E131" i="2"/>
  <c r="E165" i="2"/>
  <c r="G131" i="2"/>
  <c r="G167" i="2"/>
  <c r="E172" i="2"/>
  <c r="G172" i="2"/>
  <c r="E167" i="2"/>
  <c r="E34" i="2"/>
  <c r="G34" i="2"/>
  <c r="G85" i="2"/>
  <c r="G60" i="2"/>
  <c r="E61" i="2"/>
  <c r="E60" i="2"/>
  <c r="G61" i="2"/>
  <c r="C18" i="2"/>
  <c r="C19" i="2"/>
  <c r="C20" i="2" s="1"/>
  <c r="E27" i="2" s="1"/>
  <c r="G46" i="2" l="1"/>
  <c r="E46" i="2"/>
  <c r="E56" i="2"/>
  <c r="G56" i="2"/>
  <c r="G41" i="2"/>
  <c r="E41" i="2"/>
  <c r="G27" i="2"/>
  <c r="G62" i="2"/>
  <c r="G42" i="2"/>
  <c r="E170" i="2"/>
  <c r="G160" i="2"/>
  <c r="E42" i="2"/>
  <c r="E62" i="2"/>
  <c r="E161" i="2"/>
  <c r="E31" i="2"/>
  <c r="G33" i="2"/>
  <c r="E159" i="2"/>
  <c r="G39" i="2"/>
  <c r="E171" i="2"/>
  <c r="E38" i="2"/>
  <c r="G63" i="2"/>
  <c r="E63" i="2"/>
  <c r="E149" i="2"/>
  <c r="E150" i="2"/>
  <c r="G29" i="2"/>
  <c r="G113" i="2"/>
  <c r="E29" i="2"/>
  <c r="G161" i="2"/>
  <c r="G150" i="2"/>
  <c r="G170" i="2"/>
  <c r="E111" i="2"/>
  <c r="E113" i="2"/>
  <c r="E64" i="2"/>
  <c r="G149" i="2"/>
  <c r="G30" i="2"/>
  <c r="E160" i="2"/>
  <c r="G171" i="2"/>
  <c r="G159" i="2"/>
  <c r="E39" i="2"/>
  <c r="G111" i="2"/>
  <c r="G64" i="2"/>
  <c r="G31" i="2"/>
  <c r="E30" i="2"/>
  <c r="G38" i="2"/>
  <c r="G112" i="2"/>
  <c r="E33" i="2"/>
  <c r="E112" i="2"/>
  <c r="E28" i="2"/>
  <c r="G28" i="2"/>
  <c r="C21" i="2"/>
  <c r="C15" i="2" s="1"/>
  <c r="C22" i="2" l="1"/>
</calcChain>
</file>

<file path=xl/sharedStrings.xml><?xml version="1.0" encoding="utf-8"?>
<sst xmlns="http://schemas.openxmlformats.org/spreadsheetml/2006/main" count="208" uniqueCount="103">
  <si>
    <t>№</t>
  </si>
  <si>
    <t>Name of product</t>
  </si>
  <si>
    <t>Сума від</t>
  </si>
  <si>
    <t>Сума до</t>
  </si>
  <si>
    <t>% знижки</t>
  </si>
  <si>
    <t>Price RRP / EUR</t>
  </si>
  <si>
    <t>Order pcs.</t>
  </si>
  <si>
    <t>Discounted price</t>
  </si>
  <si>
    <t>Amount excluding discount</t>
  </si>
  <si>
    <t>Amount including discount</t>
  </si>
  <si>
    <t>Your discount</t>
  </si>
  <si>
    <t>Макс знижка</t>
  </si>
  <si>
    <t>Мін знижка</t>
  </si>
  <si>
    <t>First name:</t>
  </si>
  <si>
    <t xml:space="preserve">Last name: </t>
  </si>
  <si>
    <t>Country:</t>
  </si>
  <si>
    <t>City:</t>
  </si>
  <si>
    <t xml:space="preserve">Postal code: </t>
  </si>
  <si>
    <t xml:space="preserve">Phone: </t>
  </si>
  <si>
    <t>Client's info</t>
  </si>
  <si>
    <t>Street address: (House, street name) , (Apartment, suite, unit, etc.)</t>
  </si>
  <si>
    <t>Subjects</t>
  </si>
  <si>
    <t>Basic</t>
  </si>
  <si>
    <t>Silver</t>
  </si>
  <si>
    <t>Gold</t>
  </si>
  <si>
    <t>Platinum</t>
  </si>
  <si>
    <t>VIP</t>
  </si>
  <si>
    <t>from 1000 to 2999</t>
  </si>
  <si>
    <t>from 3000 to 4999</t>
  </si>
  <si>
    <t>from 500 to 999</t>
  </si>
  <si>
    <t>from 5000 to 9999</t>
  </si>
  <si>
    <t xml:space="preserve">from 10000 </t>
  </si>
  <si>
    <t>None</t>
  </si>
  <si>
    <t>Тип</t>
  </si>
  <si>
    <t>Company Name:     (optional information)</t>
  </si>
  <si>
    <t>Comment to the order:     (optional information)</t>
  </si>
  <si>
    <t>Instagram:      (optional information)</t>
  </si>
  <si>
    <t>-</t>
  </si>
  <si>
    <t xml:space="preserve">E-mail:     </t>
  </si>
  <si>
    <t xml:space="preserve">Total number of ordered units </t>
  </si>
  <si>
    <t>Amount of your discount</t>
  </si>
  <si>
    <t>Total amount of the order including the discount</t>
  </si>
  <si>
    <t>Total number of SKU</t>
  </si>
  <si>
    <t>Total amount of your order without discount</t>
  </si>
  <si>
    <t>Total Price:</t>
  </si>
  <si>
    <t>Category_1</t>
  </si>
  <si>
    <t>Category_2</t>
  </si>
  <si>
    <t>Category_3</t>
  </si>
  <si>
    <t>Category_4</t>
  </si>
  <si>
    <t>Category_5</t>
  </si>
  <si>
    <t>Category_6</t>
  </si>
  <si>
    <t>Category_7</t>
  </si>
  <si>
    <t>Product_1</t>
  </si>
  <si>
    <t>Product_2</t>
  </si>
  <si>
    <t>Product_3</t>
  </si>
  <si>
    <t>Product_4</t>
  </si>
  <si>
    <t>Product_5</t>
  </si>
  <si>
    <t>Product_6</t>
  </si>
  <si>
    <t>Product_7</t>
  </si>
  <si>
    <t>Product_8</t>
  </si>
  <si>
    <t>Product_9</t>
  </si>
  <si>
    <t>Product_10</t>
  </si>
  <si>
    <t>Product_11</t>
  </si>
  <si>
    <t>Product_12</t>
  </si>
  <si>
    <t>Product_13</t>
  </si>
  <si>
    <t>Product_14</t>
  </si>
  <si>
    <t>Product_15</t>
  </si>
  <si>
    <t>Product_16</t>
  </si>
  <si>
    <t>Product_17</t>
  </si>
  <si>
    <t>Product_18</t>
  </si>
  <si>
    <t>Product_19</t>
  </si>
  <si>
    <t>Product_20</t>
  </si>
  <si>
    <t>Product_21</t>
  </si>
  <si>
    <t>Product_22</t>
  </si>
  <si>
    <t>Product_23</t>
  </si>
  <si>
    <t>Product_24</t>
  </si>
  <si>
    <t>Product_25</t>
  </si>
  <si>
    <t>Product_26</t>
  </si>
  <si>
    <t>Product_27</t>
  </si>
  <si>
    <t>Product_28</t>
  </si>
  <si>
    <t>Product_29</t>
  </si>
  <si>
    <t>Product_30</t>
  </si>
  <si>
    <t>Product_31</t>
  </si>
  <si>
    <t>Product_32</t>
  </si>
  <si>
    <t>Product_33</t>
  </si>
  <si>
    <t>Product_34</t>
  </si>
  <si>
    <t>Product_35</t>
  </si>
  <si>
    <t>Product_36</t>
  </si>
  <si>
    <t>Product_37</t>
  </si>
  <si>
    <t>Product_38</t>
  </si>
  <si>
    <t>Product_39</t>
  </si>
  <si>
    <t>Product_40</t>
  </si>
  <si>
    <t>Product_41</t>
  </si>
  <si>
    <t>Product_42</t>
  </si>
  <si>
    <t>Product_43</t>
  </si>
  <si>
    <t>Product_44</t>
  </si>
  <si>
    <t>Product_45</t>
  </si>
  <si>
    <t>Product_46</t>
  </si>
  <si>
    <t>Product_47</t>
  </si>
  <si>
    <t>Product_48</t>
  </si>
  <si>
    <t>Product_49</t>
  </si>
  <si>
    <t>Product_50</t>
  </si>
  <si>
    <r>
      <rPr>
        <b/>
        <sz val="8"/>
        <color theme="1"/>
        <rFont val="Calibri"/>
        <family val="2"/>
        <scheme val="minor"/>
      </rPr>
      <t xml:space="preserve">COMPANY LTD SP. Z O.O.    
Address: Street, №, City, Country 
Bank details:                                                                                                                                                                                                   
PLN: 00 0000 0000 0000 0000 0000 0000                                                                                                                                                                                                                                                                                                                                  
EUR: 00 0000 0000 0000 0000 0000 0000                                                                                                                                                                                                                    
USD: 00 0000 0000 0000 0000 0000 0000                                                                                                                              
SWIFT: XXXXXXXXXXX
Paypal: @COMPANYNAME
E-mail: company_email@gmail.com                                                                                                                                                                                                                                                                                              
Tel: +11111111111 (WhatsApp)  +222222222222 (Telegram)    </t>
    </r>
    <r>
      <rPr>
        <b/>
        <sz val="7"/>
        <color theme="1"/>
        <rFont val="Calibri"/>
        <family val="2"/>
        <charset val="204"/>
        <scheme val="minor"/>
      </rPr>
  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</si>
</sst>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₴&quot;* #,##0.00_);_(&quot;₴&quot;* \(#,##0.00\);_(&quot;₴&quot;* &quot;-&quot;??_);_(@_)"/>
    <numFmt numFmtId="165" formatCode="#,##0.00\ [$€-1]"/>
    <numFmt numFmtId="166" formatCode="0;\-0;;@"/>
    <numFmt numFmtId="167" formatCode="#,##0.00\ [$EUR]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charset val="204"/>
      <scheme val="minor"/>
    </font>
    <font>
      <b/>
      <sz val="7"/>
      <color theme="1"/>
      <name val="Calibri"/>
      <family val="2"/>
      <charset val="204"/>
      <scheme val="minor"/>
    </font>
    <font>
      <sz val="10"/>
      <name val="Calibri Light"/>
      <family val="2"/>
    </font>
    <font>
      <sz val="8"/>
      <name val="Calibri"/>
      <family val="2"/>
      <scheme val="minor"/>
    </font>
    <font>
      <sz val="8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8"/>
      <color rgb="FFFF0000"/>
      <name val="Calibri"/>
      <family val="2"/>
      <charset val="204"/>
      <scheme val="minor"/>
    </font>
    <font>
      <u/>
      <sz val="8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4"/>
      <color theme="1"/>
      <name val="Calibri"/>
      <family val="2"/>
      <scheme val="minor"/>
    </font>
    <font>
      <b/>
      <sz val="14"/>
      <color theme="1"/>
      <name val="Calibri Light"/>
      <family val="2"/>
      <charset val="204"/>
    </font>
    <font>
      <sz val="10"/>
      <color theme="1"/>
      <name val="Calibri Light"/>
      <family val="2"/>
      <charset val="204"/>
    </font>
    <font>
      <sz val="10"/>
      <name val="Calibri Light"/>
      <family val="2"/>
      <charset val="204"/>
    </font>
    <font>
      <b/>
      <sz val="11"/>
      <color theme="1"/>
      <name val="Calibri Light"/>
      <family val="2"/>
      <charset val="204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Georgia Pro"/>
      <family val="1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Georgia Pro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9" fontId="0" fillId="0" borderId="0" xfId="3" applyFont="1" applyAlignment="1">
      <alignment horizontal="center"/>
    </xf>
    <xf numFmtId="165" fontId="0" fillId="0" borderId="0" xfId="0" applyNumberFormat="1" applyFill="1" applyAlignment="1" applyProtection="1">
      <alignment horizontal="center" vertical="center"/>
      <protection hidden="1"/>
    </xf>
    <xf numFmtId="9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top" wrapText="1"/>
    </xf>
    <xf numFmtId="9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 vertical="top" wrapText="1"/>
    </xf>
    <xf numFmtId="9" fontId="0" fillId="0" borderId="0" xfId="0" applyNumberFormat="1" applyBorder="1" applyAlignment="1">
      <alignment horizontal="center"/>
    </xf>
    <xf numFmtId="0" fontId="1" fillId="0" borderId="0" xfId="0" applyFont="1" applyAlignment="1">
      <alignment vertical="top" wrapText="1"/>
    </xf>
    <xf numFmtId="3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Protection="1"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3" fontId="5" fillId="0" borderId="0" xfId="0" applyNumberFormat="1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center" wrapText="1"/>
      <protection hidden="1"/>
    </xf>
    <xf numFmtId="3" fontId="6" fillId="0" borderId="0" xfId="0" applyNumberFormat="1" applyFont="1" applyBorder="1" applyAlignment="1" applyProtection="1">
      <alignment vertical="top" wrapText="1"/>
      <protection hidden="1"/>
    </xf>
    <xf numFmtId="0" fontId="4" fillId="0" borderId="0" xfId="0" applyFont="1" applyProtection="1">
      <protection hidden="1"/>
    </xf>
    <xf numFmtId="0" fontId="0" fillId="0" borderId="0" xfId="0" applyBorder="1" applyAlignment="1" applyProtection="1">
      <alignment horizontal="left" vertical="center"/>
      <protection locked="0" hidden="1"/>
    </xf>
    <xf numFmtId="165" fontId="0" fillId="0" borderId="0" xfId="0" applyNumberFormat="1" applyAlignment="1">
      <alignment horizontal="center"/>
    </xf>
    <xf numFmtId="0" fontId="15" fillId="0" borderId="0" xfId="0" applyFont="1" applyBorder="1" applyAlignment="1" applyProtection="1">
      <alignment horizontal="left" vertical="top" wrapText="1"/>
      <protection locked="0" hidden="1"/>
    </xf>
    <xf numFmtId="0" fontId="7" fillId="0" borderId="0" xfId="0" applyFont="1" applyBorder="1" applyAlignment="1" applyProtection="1">
      <alignment horizontal="left" vertical="top" wrapText="1"/>
      <protection locked="0" hidden="1"/>
    </xf>
    <xf numFmtId="0" fontId="10" fillId="0" borderId="0" xfId="0" applyFont="1" applyFill="1" applyBorder="1" applyAlignment="1" applyProtection="1">
      <alignment horizontal="left" vertical="top" wrapText="1"/>
      <protection hidden="1"/>
    </xf>
    <xf numFmtId="0" fontId="9" fillId="0" borderId="0" xfId="0" applyFont="1" applyFill="1" applyBorder="1" applyAlignment="1" applyProtection="1">
      <alignment horizontal="left" vertical="top" wrapText="1"/>
      <protection hidden="1"/>
    </xf>
    <xf numFmtId="0" fontId="5" fillId="0" borderId="7" xfId="0" applyFont="1" applyBorder="1" applyAlignment="1" applyProtection="1">
      <alignment horizontal="left" vertical="center" wrapText="1"/>
      <protection hidden="1"/>
    </xf>
    <xf numFmtId="3" fontId="5" fillId="0" borderId="9" xfId="0" applyNumberFormat="1" applyFont="1" applyBorder="1" applyAlignment="1" applyProtection="1">
      <alignment horizontal="center" vertical="center" wrapText="1"/>
      <protection hidden="1"/>
    </xf>
    <xf numFmtId="0" fontId="5" fillId="0" borderId="10" xfId="0" applyFont="1" applyBorder="1" applyAlignment="1" applyProtection="1">
      <alignment horizontal="left" vertical="center" wrapText="1"/>
      <protection hidden="1"/>
    </xf>
    <xf numFmtId="3" fontId="5" fillId="0" borderId="13" xfId="0" applyNumberFormat="1" applyFont="1" applyBorder="1" applyAlignment="1" applyProtection="1">
      <alignment horizontal="center" vertical="center" wrapText="1"/>
      <protection hidden="1"/>
    </xf>
    <xf numFmtId="165" fontId="5" fillId="0" borderId="13" xfId="0" applyNumberFormat="1" applyFont="1" applyBorder="1" applyAlignment="1" applyProtection="1">
      <alignment horizontal="center" vertical="center" wrapText="1"/>
      <protection hidden="1"/>
    </xf>
    <xf numFmtId="9" fontId="5" fillId="0" borderId="13" xfId="3" applyFont="1" applyBorder="1" applyAlignment="1" applyProtection="1">
      <alignment horizontal="center" vertical="center" wrapText="1"/>
      <protection hidden="1"/>
    </xf>
    <xf numFmtId="0" fontId="5" fillId="0" borderId="11" xfId="0" applyFont="1" applyBorder="1" applyAlignment="1" applyProtection="1">
      <alignment horizontal="left" vertical="center" wrapText="1"/>
      <protection hidden="1"/>
    </xf>
    <xf numFmtId="165" fontId="5" fillId="0" borderId="14" xfId="0" applyNumberFormat="1" applyFont="1" applyBorder="1" applyAlignment="1" applyProtection="1">
      <alignment horizontal="center" vertical="center" wrapText="1"/>
      <protection hidden="1"/>
    </xf>
    <xf numFmtId="0" fontId="17" fillId="0" borderId="0" xfId="4" applyProtection="1">
      <protection hidden="1"/>
    </xf>
    <xf numFmtId="0" fontId="22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left"/>
      <protection hidden="1"/>
    </xf>
    <xf numFmtId="0" fontId="15" fillId="0" borderId="0" xfId="0" applyFont="1" applyBorder="1" applyAlignment="1" applyProtection="1">
      <alignment horizontal="left" vertical="center" wrapText="1"/>
      <protection locked="0" hidden="1"/>
    </xf>
    <xf numFmtId="0" fontId="7" fillId="0" borderId="0" xfId="0" applyFont="1" applyBorder="1" applyAlignment="1" applyProtection="1">
      <alignment horizontal="left" vertical="center" wrapText="1"/>
      <protection locked="0" hidden="1"/>
    </xf>
    <xf numFmtId="0" fontId="18" fillId="0" borderId="0" xfId="0" applyFont="1" applyBorder="1" applyAlignment="1" applyProtection="1">
      <alignment horizontal="left" vertical="center" wrapText="1"/>
      <protection locked="0" hidden="1"/>
    </xf>
    <xf numFmtId="0" fontId="19" fillId="0" borderId="0" xfId="4" applyFont="1" applyBorder="1" applyAlignment="1" applyProtection="1">
      <alignment horizontal="center" vertical="center" wrapText="1"/>
      <protection locked="0" hidden="1"/>
    </xf>
    <xf numFmtId="0" fontId="19" fillId="0" borderId="0" xfId="4" applyFont="1" applyFill="1" applyBorder="1" applyAlignment="1" applyProtection="1">
      <alignment horizontal="center" vertical="center" wrapText="1"/>
      <protection hidden="1"/>
    </xf>
    <xf numFmtId="0" fontId="20" fillId="0" borderId="0" xfId="0" applyFont="1" applyFill="1" applyBorder="1" applyAlignment="1" applyProtection="1">
      <alignment horizontal="left" vertical="center" wrapText="1"/>
      <protection hidden="1"/>
    </xf>
    <xf numFmtId="0" fontId="21" fillId="0" borderId="0" xfId="4" applyFont="1" applyBorder="1" applyAlignment="1" applyProtection="1">
      <alignment horizontal="center" vertical="center" wrapText="1"/>
      <protection locked="0" hidden="1"/>
    </xf>
    <xf numFmtId="0" fontId="23" fillId="0" borderId="0" xfId="0" applyFont="1" applyAlignment="1" applyProtection="1">
      <alignment horizontal="center" vertical="center"/>
      <protection hidden="1"/>
    </xf>
    <xf numFmtId="165" fontId="24" fillId="2" borderId="4" xfId="1" applyNumberFormat="1" applyFont="1" applyFill="1" applyBorder="1" applyAlignment="1" applyProtection="1">
      <alignment horizontal="center" vertical="center"/>
      <protection hidden="1"/>
    </xf>
    <xf numFmtId="165" fontId="24" fillId="2" borderId="5" xfId="1" applyNumberFormat="1" applyFont="1" applyFill="1" applyBorder="1" applyAlignment="1" applyProtection="1">
      <alignment horizontal="center" vertical="center"/>
      <protection hidden="1"/>
    </xf>
    <xf numFmtId="165" fontId="25" fillId="0" borderId="2" xfId="1" applyNumberFormat="1" applyFont="1" applyFill="1" applyBorder="1" applyAlignment="1" applyProtection="1">
      <alignment horizontal="center" vertical="center"/>
      <protection hidden="1"/>
    </xf>
    <xf numFmtId="3" fontId="25" fillId="0" borderId="2" xfId="1" applyNumberFormat="1" applyFont="1" applyFill="1" applyBorder="1" applyAlignment="1" applyProtection="1">
      <alignment horizontal="center" vertical="center"/>
      <protection locked="0"/>
    </xf>
    <xf numFmtId="165" fontId="25" fillId="3" borderId="1" xfId="1" applyNumberFormat="1" applyFont="1" applyFill="1" applyBorder="1" applyAlignment="1" applyProtection="1">
      <alignment horizontal="center" vertical="center"/>
      <protection hidden="1"/>
    </xf>
    <xf numFmtId="3" fontId="25" fillId="3" borderId="1" xfId="1" applyNumberFormat="1" applyFont="1" applyFill="1" applyBorder="1" applyAlignment="1" applyProtection="1">
      <alignment horizontal="center" vertical="center"/>
      <protection locked="0"/>
    </xf>
    <xf numFmtId="165" fontId="25" fillId="0" borderId="1" xfId="1" applyNumberFormat="1" applyFont="1" applyFill="1" applyBorder="1" applyAlignment="1" applyProtection="1">
      <alignment horizontal="center" vertical="center"/>
      <protection hidden="1"/>
    </xf>
    <xf numFmtId="3" fontId="26" fillId="0" borderId="1" xfId="1" applyNumberFormat="1" applyFont="1" applyFill="1" applyBorder="1" applyAlignment="1" applyProtection="1">
      <alignment horizontal="center" vertical="center"/>
      <protection locked="0"/>
    </xf>
    <xf numFmtId="3" fontId="25" fillId="0" borderId="1" xfId="1" applyNumberFormat="1" applyFont="1" applyFill="1" applyBorder="1" applyAlignment="1" applyProtection="1">
      <alignment horizontal="center" vertical="center"/>
      <protection locked="0"/>
    </xf>
    <xf numFmtId="165" fontId="25" fillId="0" borderId="6" xfId="1" applyNumberFormat="1" applyFont="1" applyFill="1" applyBorder="1" applyAlignment="1" applyProtection="1">
      <alignment horizontal="center" vertical="center"/>
      <protection hidden="1"/>
    </xf>
    <xf numFmtId="3" fontId="25" fillId="0" borderId="6" xfId="1" applyNumberFormat="1" applyFont="1" applyFill="1" applyBorder="1" applyAlignment="1" applyProtection="1">
      <alignment horizontal="center" vertical="center"/>
      <protection locked="0"/>
    </xf>
    <xf numFmtId="165" fontId="25" fillId="3" borderId="2" xfId="1" applyNumberFormat="1" applyFont="1" applyFill="1" applyBorder="1" applyAlignment="1" applyProtection="1">
      <alignment horizontal="center" vertical="center"/>
      <protection hidden="1"/>
    </xf>
    <xf numFmtId="3" fontId="25" fillId="3" borderId="2" xfId="1" applyNumberFormat="1" applyFont="1" applyFill="1" applyBorder="1" applyAlignment="1" applyProtection="1">
      <alignment horizontal="center" vertical="center"/>
      <protection locked="0"/>
    </xf>
    <xf numFmtId="3" fontId="13" fillId="0" borderId="7" xfId="0" applyNumberFormat="1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left" vertical="center" wrapText="1"/>
      <protection locked="0"/>
    </xf>
    <xf numFmtId="9" fontId="13" fillId="0" borderId="9" xfId="3" applyFont="1" applyBorder="1" applyAlignment="1" applyProtection="1">
      <alignment horizontal="center" vertical="center" wrapText="1"/>
      <protection locked="0"/>
    </xf>
    <xf numFmtId="3" fontId="13" fillId="0" borderId="10" xfId="0" applyNumberFormat="1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9" fontId="13" fillId="0" borderId="13" xfId="3" applyFont="1" applyBorder="1" applyAlignment="1" applyProtection="1">
      <alignment horizontal="center" vertical="center" wrapText="1"/>
      <protection locked="0"/>
    </xf>
    <xf numFmtId="3" fontId="6" fillId="0" borderId="10" xfId="0" applyNumberFormat="1" applyFont="1" applyBorder="1" applyAlignment="1" applyProtection="1">
      <alignment horizontal="center" vertical="top" wrapText="1"/>
      <protection locked="0"/>
    </xf>
    <xf numFmtId="3" fontId="11" fillId="0" borderId="1" xfId="0" applyNumberFormat="1" applyFont="1" applyBorder="1" applyAlignment="1" applyProtection="1">
      <alignment horizontal="left" vertical="top" wrapText="1"/>
      <protection locked="0"/>
    </xf>
    <xf numFmtId="9" fontId="6" fillId="0" borderId="13" xfId="3" applyFont="1" applyBorder="1" applyAlignment="1" applyProtection="1">
      <alignment horizontal="center" vertical="top" wrapText="1"/>
      <protection locked="0"/>
    </xf>
    <xf numFmtId="3" fontId="13" fillId="0" borderId="11" xfId="0" applyNumberFormat="1" applyFont="1" applyBorder="1" applyAlignment="1" applyProtection="1">
      <alignment horizontal="center" vertical="top" wrapText="1"/>
      <protection locked="0"/>
    </xf>
    <xf numFmtId="3" fontId="11" fillId="0" borderId="12" xfId="0" applyNumberFormat="1" applyFont="1" applyBorder="1" applyAlignment="1" applyProtection="1">
      <alignment horizontal="left" vertical="top" wrapText="1"/>
      <protection locked="0"/>
    </xf>
    <xf numFmtId="9" fontId="13" fillId="0" borderId="14" xfId="3" applyFont="1" applyBorder="1" applyAlignment="1" applyProtection="1">
      <alignment horizontal="center" vertical="center" wrapText="1"/>
      <protection locked="0"/>
    </xf>
    <xf numFmtId="0" fontId="8" fillId="3" borderId="6" xfId="0" applyFont="1" applyFill="1" applyBorder="1" applyAlignment="1" applyProtection="1">
      <alignment horizontal="center" vertical="center"/>
      <protection locked="0"/>
    </xf>
    <xf numFmtId="2" fontId="8" fillId="3" borderId="6" xfId="0" applyNumberFormat="1" applyFont="1" applyFill="1" applyBorder="1" applyAlignment="1" applyProtection="1">
      <alignment horizontal="center" vertical="center" wrapText="1"/>
      <protection locked="0"/>
    </xf>
    <xf numFmtId="3" fontId="8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24" fillId="2" borderId="3" xfId="0" applyFont="1" applyFill="1" applyBorder="1" applyAlignment="1" applyProtection="1">
      <alignment horizontal="center" vertical="center"/>
      <protection locked="0"/>
    </xf>
    <xf numFmtId="165" fontId="24" fillId="2" borderId="4" xfId="1" applyNumberFormat="1" applyFont="1" applyFill="1" applyBorder="1" applyAlignment="1" applyProtection="1">
      <alignment horizontal="center" vertical="center"/>
      <protection locked="0"/>
    </xf>
    <xf numFmtId="0" fontId="25" fillId="0" borderId="2" xfId="0" applyFont="1" applyBorder="1" applyAlignment="1" applyProtection="1">
      <alignment horizontal="center" vertical="center"/>
      <protection locked="0"/>
    </xf>
    <xf numFmtId="0" fontId="25" fillId="0" borderId="2" xfId="0" applyFont="1" applyBorder="1" applyAlignment="1" applyProtection="1">
      <alignment horizontal="left" vertical="center"/>
      <protection locked="0"/>
    </xf>
    <xf numFmtId="165" fontId="25" fillId="0" borderId="2" xfId="1" applyNumberFormat="1" applyFont="1" applyFill="1" applyBorder="1" applyAlignment="1" applyProtection="1">
      <alignment horizontal="center" vertical="center"/>
      <protection locked="0"/>
    </xf>
    <xf numFmtId="0" fontId="25" fillId="3" borderId="1" xfId="0" applyFont="1" applyFill="1" applyBorder="1" applyAlignment="1" applyProtection="1">
      <alignment horizontal="center" vertical="center"/>
      <protection locked="0"/>
    </xf>
    <xf numFmtId="165" fontId="25" fillId="3" borderId="1" xfId="1" applyNumberFormat="1" applyFont="1" applyFill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165" fontId="25" fillId="0" borderId="1" xfId="1" applyNumberFormat="1" applyFont="1" applyFill="1" applyBorder="1" applyAlignment="1" applyProtection="1">
      <alignment horizontal="center" vertical="center"/>
      <protection locked="0"/>
    </xf>
    <xf numFmtId="0" fontId="25" fillId="0" borderId="6" xfId="0" applyFont="1" applyBorder="1" applyAlignment="1" applyProtection="1">
      <alignment horizontal="center" vertical="center"/>
      <protection locked="0"/>
    </xf>
    <xf numFmtId="165" fontId="25" fillId="0" borderId="6" xfId="1" applyNumberFormat="1" applyFont="1" applyFill="1" applyBorder="1" applyAlignment="1" applyProtection="1">
      <alignment horizontal="center" vertical="center"/>
      <protection locked="0"/>
    </xf>
    <xf numFmtId="0" fontId="25" fillId="3" borderId="2" xfId="0" applyFont="1" applyFill="1" applyBorder="1" applyAlignment="1" applyProtection="1">
      <alignment horizontal="center" vertical="center"/>
      <protection locked="0"/>
    </xf>
    <xf numFmtId="165" fontId="25" fillId="3" borderId="2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166" fontId="27" fillId="2" borderId="4" xfId="1" applyNumberFormat="1" applyFont="1" applyFill="1" applyBorder="1" applyAlignment="1" applyProtection="1">
      <alignment horizontal="center" vertical="center"/>
      <protection hidden="1"/>
    </xf>
    <xf numFmtId="3" fontId="27" fillId="2" borderId="4" xfId="1" applyNumberFormat="1" applyFont="1" applyFill="1" applyBorder="1" applyAlignment="1" applyProtection="1">
      <alignment horizontal="center" vertical="center"/>
      <protection hidden="1"/>
    </xf>
    <xf numFmtId="0" fontId="28" fillId="0" borderId="10" xfId="0" applyFont="1" applyBorder="1" applyAlignment="1" applyProtection="1">
      <alignment vertical="center"/>
      <protection locked="0"/>
    </xf>
    <xf numFmtId="0" fontId="29" fillId="2" borderId="4" xfId="0" applyFont="1" applyFill="1" applyBorder="1" applyAlignment="1" applyProtection="1">
      <alignment horizontal="center" vertical="center"/>
      <protection locked="0"/>
    </xf>
    <xf numFmtId="0" fontId="28" fillId="0" borderId="18" xfId="0" applyFont="1" applyBorder="1" applyAlignment="1" applyProtection="1">
      <alignment vertical="center"/>
      <protection locked="0"/>
    </xf>
    <xf numFmtId="0" fontId="29" fillId="2" borderId="7" xfId="0" applyFont="1" applyFill="1" applyBorder="1" applyAlignment="1">
      <alignment horizontal="center" vertical="center"/>
    </xf>
    <xf numFmtId="0" fontId="31" fillId="4" borderId="19" xfId="0" applyFont="1" applyFill="1" applyBorder="1" applyAlignment="1" applyProtection="1">
      <alignment horizontal="center" vertical="center" wrapText="1"/>
      <protection locked="0" hidden="1"/>
    </xf>
    <xf numFmtId="167" fontId="31" fillId="4" borderId="20" xfId="0" applyNumberFormat="1" applyFont="1" applyFill="1" applyBorder="1" applyAlignment="1" applyProtection="1">
      <alignment horizontal="center" vertical="center" wrapText="1"/>
      <protection locked="0" hidden="1"/>
    </xf>
    <xf numFmtId="167" fontId="30" fillId="4" borderId="20" xfId="0" applyNumberFormat="1" applyFont="1" applyFill="1" applyBorder="1" applyAlignment="1">
      <alignment horizontal="center" vertical="center" wrapText="1"/>
    </xf>
    <xf numFmtId="167" fontId="30" fillId="4" borderId="21" xfId="0" applyNumberFormat="1" applyFont="1" applyFill="1" applyBorder="1" applyAlignment="1">
      <alignment horizontal="center" vertical="center" wrapText="1"/>
    </xf>
    <xf numFmtId="0" fontId="15" fillId="0" borderId="17" xfId="0" applyFont="1" applyBorder="1" applyAlignment="1" applyProtection="1">
      <alignment horizontal="left" vertical="top" wrapText="1"/>
      <protection locked="0" hidden="1"/>
    </xf>
    <xf numFmtId="0" fontId="15" fillId="0" borderId="15" xfId="0" applyFont="1" applyBorder="1" applyAlignment="1" applyProtection="1">
      <alignment horizontal="left" vertical="top" wrapText="1"/>
      <protection locked="0" hidden="1"/>
    </xf>
    <xf numFmtId="0" fontId="15" fillId="0" borderId="16" xfId="0" applyFont="1" applyBorder="1" applyAlignment="1" applyProtection="1">
      <alignment horizontal="left" vertical="top" wrapText="1"/>
      <protection locked="0" hidden="1"/>
    </xf>
    <xf numFmtId="0" fontId="12" fillId="0" borderId="1" xfId="0" applyFont="1" applyBorder="1" applyAlignment="1" applyProtection="1">
      <alignment horizontal="left" vertical="center"/>
      <protection locked="0"/>
    </xf>
    <xf numFmtId="0" fontId="12" fillId="0" borderId="13" xfId="0" applyFont="1" applyBorder="1" applyAlignment="1" applyProtection="1">
      <alignment horizontal="left" vertical="center"/>
      <protection locked="0"/>
    </xf>
    <xf numFmtId="0" fontId="12" fillId="0" borderId="6" xfId="0" applyFont="1" applyBorder="1" applyAlignment="1" applyProtection="1">
      <alignment horizontal="left" vertical="center" wrapText="1"/>
      <protection locked="0"/>
    </xf>
    <xf numFmtId="0" fontId="12" fillId="0" borderId="22" xfId="0" applyFont="1" applyBorder="1" applyAlignment="1" applyProtection="1">
      <alignment horizontal="left" vertical="center" wrapText="1"/>
      <protection locked="0"/>
    </xf>
    <xf numFmtId="0" fontId="29" fillId="2" borderId="8" xfId="0" applyFont="1" applyFill="1" applyBorder="1" applyAlignment="1">
      <alignment horizontal="center" vertical="center"/>
    </xf>
    <xf numFmtId="0" fontId="29" fillId="2" borderId="9" xfId="0" applyFont="1" applyFill="1" applyBorder="1" applyAlignment="1">
      <alignment horizontal="center" vertical="center"/>
    </xf>
  </cellXfs>
  <cellStyles count="5">
    <cellStyle name="Гиперссылка" xfId="4" builtinId="8"/>
    <cellStyle name="Денежный" xfId="1" builtinId="4"/>
    <cellStyle name="Обычный" xfId="0" builtinId="0"/>
    <cellStyle name="Обычный 2" xfId="2"/>
    <cellStyle name="Процентный" xfId="3" builtinId="5"/>
  </cellStyles>
  <dxfs count="3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numFmt numFmtId="165" formatCode="#,##0.00\ [$€-1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numFmt numFmtId="165" formatCode="#,##0.00\ [$€-1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numFmt numFmtId="165" formatCode="#,##0.00\ [$€-1]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numFmt numFmtId="165" formatCode="#,##0.00\ [$€-1]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none"/>
      </font>
      <numFmt numFmtId="2" formatCode="0.00"/>
      <fill>
        <patternFill patternType="solid">
          <fgColor rgb="FFFFFF00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0" tint="-4.9989318521683403E-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228600</xdr:colOff>
          <xdr:row>0</xdr:row>
          <xdr:rowOff>144780</xdr:rowOff>
        </xdr:from>
        <xdr:to>
          <xdr:col>9</xdr:col>
          <xdr:colOff>449580</xdr:colOff>
          <xdr:row>0</xdr:row>
          <xdr:rowOff>998220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Georgia Pro"/>
                </a:rPr>
                <a:t>Forming 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236220</xdr:colOff>
          <xdr:row>0</xdr:row>
          <xdr:rowOff>152400</xdr:rowOff>
        </xdr:from>
        <xdr:to>
          <xdr:col>13</xdr:col>
          <xdr:colOff>0</xdr:colOff>
          <xdr:row>0</xdr:row>
          <xdr:rowOff>975360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Georgia Pro"/>
                </a:rPr>
                <a:t>Show hidden lines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533400</xdr:colOff>
      <xdr:row>0</xdr:row>
      <xdr:rowOff>327509</xdr:rowOff>
    </xdr:from>
    <xdr:to>
      <xdr:col>4</xdr:col>
      <xdr:colOff>952500</xdr:colOff>
      <xdr:row>0</xdr:row>
      <xdr:rowOff>1226820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18960" y="327509"/>
          <a:ext cx="1295400" cy="899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3916680</xdr:colOff>
      <xdr:row>0</xdr:row>
      <xdr:rowOff>609600</xdr:rowOff>
    </xdr:from>
    <xdr:to>
      <xdr:col>2</xdr:col>
      <xdr:colOff>472440</xdr:colOff>
      <xdr:row>0</xdr:row>
      <xdr:rowOff>914400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88180" y="609600"/>
          <a:ext cx="149352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746760</xdr:colOff>
      <xdr:row>0</xdr:row>
      <xdr:rowOff>381000</xdr:rowOff>
    </xdr:from>
    <xdr:to>
      <xdr:col>6</xdr:col>
      <xdr:colOff>464820</xdr:colOff>
      <xdr:row>0</xdr:row>
      <xdr:rowOff>1181100</xdr:rowOff>
    </xdr:to>
    <xdr:pic>
      <xdr:nvPicPr>
        <xdr:cNvPr id="12" name="Рисунок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2080" y="381000"/>
          <a:ext cx="731520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4" name="Price_table" displayName="Price_table" ref="A24:G175" totalsRowShown="0" headerRowDxfId="16" dataDxfId="14" headerRowBorderDxfId="15" tableBorderDxfId="13" dataCellStyle="Денежный">
  <sortState ref="A11:G162">
    <sortCondition ref="A10:A162"/>
  </sortState>
  <tableColumns count="7">
    <tableColumn id="1" name="№" dataDxfId="12"/>
    <tableColumn id="2" name="Name of product" dataDxfId="11"/>
    <tableColumn id="3" name="Price RRP / EUR" dataDxfId="10" dataCellStyle="Денежный"/>
    <tableColumn id="4" name="Order pcs." dataDxfId="9" dataCellStyle="Денежный"/>
    <tableColumn id="8" name="Discounted price" dataDxfId="8" dataCellStyle="Денежный">
      <calculatedColumnFormula>IF(Price_table[[#This Row],[Order pcs.]]="","",Price_table[[#This Row],[Price RRP / EUR]]-Price_table[[#This Row],[Price RRP / EUR]]*$C$20)</calculatedColumnFormula>
    </tableColumn>
    <tableColumn id="5" name="Amount excluding discount" dataDxfId="7" dataCellStyle="Денежный">
      <calculatedColumnFormula>IF(D25="","",C25*D25)</calculatedColumnFormula>
    </tableColumn>
    <tableColumn id="6" name="Amount including discount" dataDxfId="6" dataCellStyle="Денежный">
      <calculatedColumnFormula>IF(D25="","",F25-F25*$C$20)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D7" totalsRowShown="0" headerRowDxfId="5" dataDxfId="4">
  <autoFilter ref="A1:D7"/>
  <tableColumns count="4">
    <tableColumn id="1" name="Сума від" dataDxfId="3"/>
    <tableColumn id="2" name="Сума до" dataDxfId="2"/>
    <tableColumn id="3" name="% знижки" dataDxfId="1" dataCellStyle="Процентный"/>
    <tableColumn id="4" name="Тип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FF00"/>
    <pageSetUpPr fitToPage="1"/>
  </sheetPr>
  <dimension ref="A1:J331"/>
  <sheetViews>
    <sheetView tabSelected="1" zoomScaleNormal="100" workbookViewId="0">
      <selection activeCell="J23" sqref="J23"/>
    </sheetView>
  </sheetViews>
  <sheetFormatPr defaultColWidth="8.77734375" defaultRowHeight="13.05" customHeight="1"/>
  <cols>
    <col min="1" max="1" width="8.33203125" style="14" customWidth="1"/>
    <col min="2" max="2" width="72" style="21" customWidth="1"/>
    <col min="3" max="3" width="12.77734375" style="6" customWidth="1"/>
    <col min="4" max="4" width="12.77734375" style="13" customWidth="1"/>
    <col min="5" max="7" width="14.77734375" style="6" customWidth="1"/>
    <col min="8" max="8" width="5.6640625" style="15" customWidth="1"/>
    <col min="9" max="10" width="8.77734375" style="15"/>
    <col min="11" max="11" width="2.77734375" style="15" customWidth="1"/>
    <col min="12" max="16384" width="8.77734375" style="15"/>
  </cols>
  <sheetData>
    <row r="1" spans="1:10" ht="122.55" customHeight="1" thickBot="1">
      <c r="A1" s="101" t="s">
        <v>102</v>
      </c>
      <c r="B1" s="102"/>
      <c r="C1" s="102"/>
      <c r="D1" s="102"/>
      <c r="E1" s="102"/>
      <c r="F1" s="102"/>
      <c r="G1" s="103"/>
    </row>
    <row r="2" spans="1:10" s="37" customFormat="1" ht="13.05" customHeight="1" thickBot="1">
      <c r="A2" s="39"/>
      <c r="B2" s="40"/>
      <c r="C2" s="41"/>
      <c r="D2" s="42"/>
      <c r="E2" s="45"/>
      <c r="F2" s="43"/>
      <c r="G2" s="44"/>
    </row>
    <row r="3" spans="1:10" ht="16.05" customHeight="1">
      <c r="A3" s="23"/>
      <c r="B3" s="96" t="s">
        <v>21</v>
      </c>
      <c r="C3" s="108" t="s">
        <v>19</v>
      </c>
      <c r="D3" s="108"/>
      <c r="E3" s="108"/>
      <c r="F3" s="109"/>
      <c r="G3" s="26"/>
    </row>
    <row r="4" spans="1:10" ht="13.05" customHeight="1">
      <c r="A4" s="23"/>
      <c r="B4" s="93" t="s">
        <v>34</v>
      </c>
      <c r="C4" s="104"/>
      <c r="D4" s="104"/>
      <c r="E4" s="104"/>
      <c r="F4" s="105"/>
      <c r="G4" s="26"/>
    </row>
    <row r="5" spans="1:10" ht="13.05" customHeight="1">
      <c r="A5" s="23"/>
      <c r="B5" s="93" t="s">
        <v>13</v>
      </c>
      <c r="C5" s="104"/>
      <c r="D5" s="104"/>
      <c r="E5" s="104"/>
      <c r="F5" s="105"/>
      <c r="G5" s="26"/>
    </row>
    <row r="6" spans="1:10" ht="13.05" customHeight="1">
      <c r="A6" s="23"/>
      <c r="B6" s="93" t="s">
        <v>14</v>
      </c>
      <c r="C6" s="104"/>
      <c r="D6" s="104"/>
      <c r="E6" s="104"/>
      <c r="F6" s="105"/>
      <c r="G6" s="26"/>
      <c r="H6" s="35"/>
    </row>
    <row r="7" spans="1:10" ht="13.05" customHeight="1">
      <c r="A7" s="23"/>
      <c r="B7" s="93" t="s">
        <v>15</v>
      </c>
      <c r="C7" s="104"/>
      <c r="D7" s="104"/>
      <c r="E7" s="104"/>
      <c r="F7" s="105"/>
      <c r="G7" s="26"/>
    </row>
    <row r="8" spans="1:10" ht="13.05" customHeight="1">
      <c r="A8" s="23"/>
      <c r="B8" s="93" t="s">
        <v>16</v>
      </c>
      <c r="C8" s="104"/>
      <c r="D8" s="104"/>
      <c r="E8" s="104"/>
      <c r="F8" s="105"/>
      <c r="G8" s="26"/>
    </row>
    <row r="9" spans="1:10" ht="13.05" customHeight="1">
      <c r="A9" s="23"/>
      <c r="B9" s="93" t="s">
        <v>17</v>
      </c>
      <c r="C9" s="104"/>
      <c r="D9" s="104"/>
      <c r="E9" s="104"/>
      <c r="F9" s="105"/>
      <c r="G9" s="26"/>
      <c r="I9" s="36"/>
      <c r="J9" s="38"/>
    </row>
    <row r="10" spans="1:10" ht="13.05" customHeight="1">
      <c r="A10" s="23"/>
      <c r="B10" s="93" t="s">
        <v>20</v>
      </c>
      <c r="C10" s="104"/>
      <c r="D10" s="104"/>
      <c r="E10" s="104"/>
      <c r="F10" s="105"/>
      <c r="G10" s="26"/>
    </row>
    <row r="11" spans="1:10" ht="13.05" customHeight="1">
      <c r="A11" s="23"/>
      <c r="B11" s="93" t="s">
        <v>18</v>
      </c>
      <c r="C11" s="104"/>
      <c r="D11" s="104"/>
      <c r="E11" s="104"/>
      <c r="F11" s="105"/>
      <c r="G11" s="26"/>
    </row>
    <row r="12" spans="1:10" ht="13.05" customHeight="1">
      <c r="A12" s="23"/>
      <c r="B12" s="93" t="s">
        <v>38</v>
      </c>
      <c r="C12" s="104"/>
      <c r="D12" s="104"/>
      <c r="E12" s="104"/>
      <c r="F12" s="105"/>
      <c r="G12" s="26"/>
    </row>
    <row r="13" spans="1:10" ht="13.05" customHeight="1">
      <c r="A13" s="23"/>
      <c r="B13" s="93" t="s">
        <v>36</v>
      </c>
      <c r="C13" s="104"/>
      <c r="D13" s="104"/>
      <c r="E13" s="104"/>
      <c r="F13" s="105"/>
      <c r="G13" s="26"/>
    </row>
    <row r="14" spans="1:10" ht="13.05" customHeight="1" thickBot="1">
      <c r="A14" s="23"/>
      <c r="B14" s="95" t="s">
        <v>35</v>
      </c>
      <c r="C14" s="106"/>
      <c r="D14" s="106"/>
      <c r="E14" s="106"/>
      <c r="F14" s="107"/>
      <c r="G14" s="26"/>
    </row>
    <row r="15" spans="1:10" ht="19.5" customHeight="1" thickBot="1">
      <c r="A15" s="23"/>
      <c r="B15" s="97" t="s">
        <v>44</v>
      </c>
      <c r="C15" s="98">
        <f>$C$21</f>
        <v>0</v>
      </c>
      <c r="D15" s="99"/>
      <c r="E15" s="99"/>
      <c r="F15" s="100"/>
      <c r="G15" s="26"/>
    </row>
    <row r="16" spans="1:10" ht="13.05" customHeight="1" thickBot="1">
      <c r="A16" s="23"/>
      <c r="B16" s="24"/>
      <c r="C16" s="24"/>
      <c r="D16" s="24"/>
      <c r="E16" s="24"/>
      <c r="F16" s="25"/>
      <c r="G16" s="26"/>
    </row>
    <row r="17" spans="1:8" ht="12" customHeight="1" thickBot="1">
      <c r="A17" s="16"/>
      <c r="B17" s="27" t="s">
        <v>42</v>
      </c>
      <c r="C17" s="28">
        <f>COUNT(D:D)</f>
        <v>0</v>
      </c>
      <c r="D17" s="17"/>
      <c r="E17" s="17"/>
      <c r="F17" s="16"/>
      <c r="G17" s="18"/>
    </row>
    <row r="18" spans="1:8" ht="12" customHeight="1">
      <c r="A18" s="16"/>
      <c r="B18" s="29" t="s">
        <v>39</v>
      </c>
      <c r="C18" s="30">
        <f>SUM(D:D)</f>
        <v>0</v>
      </c>
      <c r="D18" s="17"/>
      <c r="E18" s="60" t="s">
        <v>22</v>
      </c>
      <c r="F18" s="61" t="s">
        <v>29</v>
      </c>
      <c r="G18" s="62">
        <f>IF($E$18=знижки!$D$3,знижки!$C$3,IF($E$18=знижки!$D$4,знижки!$C$4,IF($E$18=знижки!$D$5,знижки!$C$5,IF($E$18=знижки!$D$6,знижки!$C$6,IF($E$18=знижки!$D$7,знижки!$C$7,0)))))</f>
        <v>0.2</v>
      </c>
    </row>
    <row r="19" spans="1:8" ht="12" customHeight="1">
      <c r="A19" s="16"/>
      <c r="B19" s="29" t="s">
        <v>43</v>
      </c>
      <c r="C19" s="31">
        <f>SUM(F:F)</f>
        <v>0</v>
      </c>
      <c r="D19" s="17"/>
      <c r="E19" s="63" t="s">
        <v>23</v>
      </c>
      <c r="F19" s="64" t="s">
        <v>27</v>
      </c>
      <c r="G19" s="65">
        <f>IF($E$19=знижки!$D$3,знижки!$C$3,IF($E$19=знижки!$D$4,знижки!$C$4,IF($E$19=знижки!$D$5,знижки!$C$5,IF($E$19=знижки!$D$6,знижки!$C$6,IF($E$19=знижки!$D$7,знижки!$C$7,0)))))</f>
        <v>0.4</v>
      </c>
    </row>
    <row r="20" spans="1:8" ht="12" customHeight="1">
      <c r="A20" s="16"/>
      <c r="B20" s="29" t="s">
        <v>10</v>
      </c>
      <c r="C20" s="32">
        <f>IF(Price_list!$C$19&lt;знижки!$A$3,знижки!$C$2,IF(Price_list!$C$19&lt;знижки!$A$4,знижки!$C$3,IF(Price_list!$C$19&lt;знижки!$A$5,знижки!$C$4,IF(Price_list!$C$19&lt;знижки!$A$6,знижки!$C$5,IF(Price_list!$C$19&lt;знижки!$A$7,знижки!$C$6,знижки!$C$7)))))</f>
        <v>0</v>
      </c>
      <c r="D20" s="19"/>
      <c r="E20" s="66" t="s">
        <v>24</v>
      </c>
      <c r="F20" s="67" t="s">
        <v>28</v>
      </c>
      <c r="G20" s="68">
        <f>IF($E$20=знижки!$D$3,знижки!$C$3,IF($E$20=знижки!$D$4,знижки!$C$4,IF($E$20=знижки!$D$5,знижки!$C$5,IF($E$20=знижки!$D$6,знижки!$C$6,IF($E$20=знижки!$D$7,знижки!$C$7,0)))))</f>
        <v>0.45</v>
      </c>
      <c r="H20" s="19"/>
    </row>
    <row r="21" spans="1:8" ht="12" customHeight="1">
      <c r="A21" s="16"/>
      <c r="B21" s="29" t="s">
        <v>41</v>
      </c>
      <c r="C21" s="31">
        <f>C19-C19*C20</f>
        <v>0</v>
      </c>
      <c r="D21" s="17"/>
      <c r="E21" s="63" t="s">
        <v>25</v>
      </c>
      <c r="F21" s="67" t="s">
        <v>30</v>
      </c>
      <c r="G21" s="65">
        <f>IF($E$21=знижки!$D$3,знижки!$C$3,IF($E$21=знижки!$D$4,знижки!$C$4,IF($E$21=знижки!$D$5,знижки!$C$5,IF($E$21=знижки!$D$6,знижки!$C$6,IF($E$121=знижки!$D$7,знижки!$C$7,0)))))</f>
        <v>0.5</v>
      </c>
    </row>
    <row r="22" spans="1:8" ht="12" customHeight="1" thickBot="1">
      <c r="A22" s="16"/>
      <c r="B22" s="33" t="s">
        <v>40</v>
      </c>
      <c r="C22" s="34">
        <f>C19-C21</f>
        <v>0</v>
      </c>
      <c r="D22" s="17"/>
      <c r="E22" s="69" t="s">
        <v>26</v>
      </c>
      <c r="F22" s="70" t="s">
        <v>31</v>
      </c>
      <c r="G22" s="71">
        <f>IF($E$22=знижки!$D$3,знижки!$C$3,IF($E$22=знижки!$D$4,знижки!$C$4,IF($E$22=знижки!$D$5,знижки!$C$5,IF($E$22=знижки!$D$6,знижки!$C$6,IF($E$22=знижки!$D$7,знижки!$C$7,0)))))</f>
        <v>0.55000000000000004</v>
      </c>
    </row>
    <row r="23" spans="1:8" ht="13.05" customHeight="1">
      <c r="A23" s="16"/>
      <c r="B23" s="18"/>
      <c r="C23" s="16"/>
      <c r="D23" s="17"/>
      <c r="E23" s="17"/>
      <c r="F23" s="16"/>
      <c r="G23" s="18"/>
    </row>
    <row r="24" spans="1:8" s="20" customFormat="1" ht="37.950000000000003" customHeight="1">
      <c r="A24" s="72" t="s">
        <v>0</v>
      </c>
      <c r="B24" s="72" t="s">
        <v>1</v>
      </c>
      <c r="C24" s="73" t="s">
        <v>5</v>
      </c>
      <c r="D24" s="74" t="s">
        <v>6</v>
      </c>
      <c r="E24" s="73" t="s">
        <v>7</v>
      </c>
      <c r="F24" s="73" t="s">
        <v>8</v>
      </c>
      <c r="G24" s="73" t="s">
        <v>9</v>
      </c>
    </row>
    <row r="25" spans="1:8" s="46" customFormat="1" ht="16.05" customHeight="1">
      <c r="A25" s="75"/>
      <c r="B25" s="94" t="s">
        <v>45</v>
      </c>
      <c r="C25" s="76"/>
      <c r="D25" s="91" t="s">
        <v>37</v>
      </c>
      <c r="E25" s="47"/>
      <c r="F25" s="47"/>
      <c r="G25" s="48"/>
    </row>
    <row r="26" spans="1:8" ht="13.05" customHeight="1">
      <c r="A26" s="77">
        <v>1</v>
      </c>
      <c r="B26" s="78" t="s">
        <v>52</v>
      </c>
      <c r="C26" s="79">
        <v>18.5</v>
      </c>
      <c r="D26" s="50"/>
      <c r="E26" s="49" t="str">
        <f>IF(Price_table[[#This Row],[Order pcs.]]="","",Price_table[[#This Row],[Price RRP / EUR]]-Price_table[[#This Row],[Price RRP / EUR]]*$C$20)</f>
        <v/>
      </c>
      <c r="F26" s="49" t="str">
        <f t="shared" ref="F26:F88" si="0">IF(D26="","",C26*D26)</f>
        <v/>
      </c>
      <c r="G26" s="49" t="str">
        <f t="shared" ref="G26:G88" si="1">IF(D26="","",F26-F26*$C$20)</f>
        <v/>
      </c>
    </row>
    <row r="27" spans="1:8" ht="13.05" customHeight="1">
      <c r="A27" s="80">
        <v>2</v>
      </c>
      <c r="B27" s="78" t="s">
        <v>53</v>
      </c>
      <c r="C27" s="81">
        <v>25.2</v>
      </c>
      <c r="D27" s="52"/>
      <c r="E27" s="51" t="str">
        <f>IF(Price_table[[#This Row],[Order pcs.]]="","",Price_table[[#This Row],[Price RRP / EUR]]-Price_table[[#This Row],[Price RRP / EUR]]*$C$20)</f>
        <v/>
      </c>
      <c r="F27" s="51" t="str">
        <f t="shared" si="0"/>
        <v/>
      </c>
      <c r="G27" s="51" t="str">
        <f t="shared" si="1"/>
        <v/>
      </c>
    </row>
    <row r="28" spans="1:8" ht="13.05" customHeight="1">
      <c r="A28" s="82">
        <v>3</v>
      </c>
      <c r="B28" s="78" t="s">
        <v>54</v>
      </c>
      <c r="C28" s="83">
        <v>19.899999999999999</v>
      </c>
      <c r="D28" s="54"/>
      <c r="E28" s="53" t="str">
        <f>IF(Price_table[[#This Row],[Order pcs.]]="","",Price_table[[#This Row],[Price RRP / EUR]]-Price_table[[#This Row],[Price RRP / EUR]]*$C$20)</f>
        <v/>
      </c>
      <c r="F28" s="53" t="str">
        <f t="shared" si="0"/>
        <v/>
      </c>
      <c r="G28" s="53" t="str">
        <f t="shared" si="1"/>
        <v/>
      </c>
    </row>
    <row r="29" spans="1:8" ht="13.05" customHeight="1">
      <c r="A29" s="82">
        <v>4</v>
      </c>
      <c r="B29" s="78" t="s">
        <v>55</v>
      </c>
      <c r="C29" s="83">
        <v>12.5</v>
      </c>
      <c r="D29" s="55"/>
      <c r="E29" s="53" t="str">
        <f>IF(Price_table[[#This Row],[Order pcs.]]="","",Price_table[[#This Row],[Price RRP / EUR]]-Price_table[[#This Row],[Price RRP / EUR]]*$C$20)</f>
        <v/>
      </c>
      <c r="F29" s="53" t="str">
        <f t="shared" si="0"/>
        <v/>
      </c>
      <c r="G29" s="53" t="str">
        <f t="shared" si="1"/>
        <v/>
      </c>
    </row>
    <row r="30" spans="1:8" ht="13.05" customHeight="1">
      <c r="A30" s="82">
        <v>5</v>
      </c>
      <c r="B30" s="78" t="s">
        <v>56</v>
      </c>
      <c r="C30" s="83">
        <v>12.1</v>
      </c>
      <c r="D30" s="55"/>
      <c r="E30" s="53" t="str">
        <f>IF(Price_table[[#This Row],[Order pcs.]]="","",Price_table[[#This Row],[Price RRP / EUR]]-Price_table[[#This Row],[Price RRP / EUR]]*$C$20)</f>
        <v/>
      </c>
      <c r="F30" s="53" t="str">
        <f t="shared" si="0"/>
        <v/>
      </c>
      <c r="G30" s="53" t="str">
        <f t="shared" si="1"/>
        <v/>
      </c>
    </row>
    <row r="31" spans="1:8" ht="13.05" customHeight="1">
      <c r="A31" s="82">
        <v>6</v>
      </c>
      <c r="B31" s="78" t="s">
        <v>57</v>
      </c>
      <c r="C31" s="83">
        <v>19.600000000000001</v>
      </c>
      <c r="D31" s="55"/>
      <c r="E31" s="53" t="str">
        <f>IF(Price_table[[#This Row],[Order pcs.]]="","",Price_table[[#This Row],[Price RRP / EUR]]-Price_table[[#This Row],[Price RRP / EUR]]*$C$20)</f>
        <v/>
      </c>
      <c r="F31" s="53" t="str">
        <f t="shared" si="0"/>
        <v/>
      </c>
      <c r="G31" s="53" t="str">
        <f t="shared" si="1"/>
        <v/>
      </c>
    </row>
    <row r="32" spans="1:8" ht="13.05" customHeight="1">
      <c r="A32" s="82">
        <v>7</v>
      </c>
      <c r="B32" s="78" t="s">
        <v>58</v>
      </c>
      <c r="C32" s="83">
        <v>21.6</v>
      </c>
      <c r="D32" s="55"/>
      <c r="E32" s="53" t="str">
        <f>IF(Price_table[[#This Row],[Order pcs.]]="","",Price_table[[#This Row],[Price RRP / EUR]]-Price_table[[#This Row],[Price RRP / EUR]]*$C$20)</f>
        <v/>
      </c>
      <c r="F32" s="53" t="str">
        <f t="shared" si="0"/>
        <v/>
      </c>
      <c r="G32" s="53" t="str">
        <f t="shared" si="1"/>
        <v/>
      </c>
    </row>
    <row r="33" spans="1:7" ht="13.05" customHeight="1">
      <c r="A33" s="82">
        <v>8</v>
      </c>
      <c r="B33" s="78" t="s">
        <v>59</v>
      </c>
      <c r="C33" s="83">
        <v>22.8</v>
      </c>
      <c r="D33" s="55"/>
      <c r="E33" s="53" t="str">
        <f>IF(Price_table[[#This Row],[Order pcs.]]="","",Price_table[[#This Row],[Price RRP / EUR]]-Price_table[[#This Row],[Price RRP / EUR]]*$C$20)</f>
        <v/>
      </c>
      <c r="F33" s="53" t="str">
        <f t="shared" si="0"/>
        <v/>
      </c>
      <c r="G33" s="53" t="str">
        <f t="shared" si="1"/>
        <v/>
      </c>
    </row>
    <row r="34" spans="1:7" ht="13.05" customHeight="1">
      <c r="A34" s="84">
        <v>9</v>
      </c>
      <c r="B34" s="78" t="s">
        <v>60</v>
      </c>
      <c r="C34" s="85">
        <v>19.899999999999999</v>
      </c>
      <c r="D34" s="57"/>
      <c r="E34" s="56" t="str">
        <f>IF(Price_table[[#This Row],[Order pcs.]]="","",Price_table[[#This Row],[Price RRP / EUR]]-Price_table[[#This Row],[Price RRP / EUR]]*$C$20)</f>
        <v/>
      </c>
      <c r="F34" s="56" t="str">
        <f t="shared" si="0"/>
        <v/>
      </c>
      <c r="G34" s="56" t="str">
        <f t="shared" si="1"/>
        <v/>
      </c>
    </row>
    <row r="35" spans="1:7" s="46" customFormat="1" ht="16.05" customHeight="1">
      <c r="A35" s="75"/>
      <c r="B35" s="94" t="s">
        <v>46</v>
      </c>
      <c r="C35" s="76"/>
      <c r="D35" s="92" t="s">
        <v>37</v>
      </c>
      <c r="E35" s="47"/>
      <c r="F35" s="47"/>
      <c r="G35" s="48"/>
    </row>
    <row r="36" spans="1:7" ht="13.05" customHeight="1">
      <c r="A36" s="77">
        <v>1</v>
      </c>
      <c r="B36" s="78" t="s">
        <v>52</v>
      </c>
      <c r="C36" s="79">
        <v>12</v>
      </c>
      <c r="D36" s="50"/>
      <c r="E36" s="49" t="str">
        <f>IF(Price_table[[#This Row],[Order pcs.]]="","",Price_table[[#This Row],[Price RRP / EUR]]-Price_table[[#This Row],[Price RRP / EUR]]*$C$20)</f>
        <v/>
      </c>
      <c r="F36" s="49" t="str">
        <f t="shared" si="0"/>
        <v/>
      </c>
      <c r="G36" s="49" t="str">
        <f t="shared" si="1"/>
        <v/>
      </c>
    </row>
    <row r="37" spans="1:7" ht="13.05" customHeight="1">
      <c r="A37" s="82">
        <v>2</v>
      </c>
      <c r="B37" s="78" t="s">
        <v>53</v>
      </c>
      <c r="C37" s="83">
        <v>10</v>
      </c>
      <c r="D37" s="55"/>
      <c r="E37" s="53" t="str">
        <f>IF(Price_table[[#This Row],[Order pcs.]]="","",Price_table[[#This Row],[Price RRP / EUR]]-Price_table[[#This Row],[Price RRP / EUR]]*$C$20)</f>
        <v/>
      </c>
      <c r="F37" s="53" t="str">
        <f t="shared" si="0"/>
        <v/>
      </c>
      <c r="G37" s="53" t="str">
        <f t="shared" si="1"/>
        <v/>
      </c>
    </row>
    <row r="38" spans="1:7" ht="13.05" customHeight="1">
      <c r="A38" s="82">
        <v>3</v>
      </c>
      <c r="B38" s="78" t="s">
        <v>54</v>
      </c>
      <c r="C38" s="83">
        <v>15</v>
      </c>
      <c r="D38" s="55"/>
      <c r="E38" s="53" t="str">
        <f>IF(Price_table[[#This Row],[Order pcs.]]="","",Price_table[[#This Row],[Price RRP / EUR]]-Price_table[[#This Row],[Price RRP / EUR]]*$C$20)</f>
        <v/>
      </c>
      <c r="F38" s="53" t="str">
        <f t="shared" si="0"/>
        <v/>
      </c>
      <c r="G38" s="53" t="str">
        <f t="shared" si="1"/>
        <v/>
      </c>
    </row>
    <row r="39" spans="1:7" ht="13.05" customHeight="1">
      <c r="A39" s="82">
        <v>4</v>
      </c>
      <c r="B39" s="78" t="s">
        <v>55</v>
      </c>
      <c r="C39" s="83">
        <v>20</v>
      </c>
      <c r="D39" s="55"/>
      <c r="E39" s="53" t="str">
        <f>IF(Price_table[[#This Row],[Order pcs.]]="","",Price_table[[#This Row],[Price RRP / EUR]]-Price_table[[#This Row],[Price RRP / EUR]]*$C$20)</f>
        <v/>
      </c>
      <c r="F39" s="53" t="str">
        <f t="shared" si="0"/>
        <v/>
      </c>
      <c r="G39" s="53" t="str">
        <f t="shared" si="1"/>
        <v/>
      </c>
    </row>
    <row r="40" spans="1:7" ht="13.05" customHeight="1">
      <c r="A40" s="82">
        <v>5</v>
      </c>
      <c r="B40" s="78" t="s">
        <v>56</v>
      </c>
      <c r="C40" s="83">
        <v>15.9</v>
      </c>
      <c r="D40" s="55"/>
      <c r="E40" s="53" t="str">
        <f>IF(Price_table[[#This Row],[Order pcs.]]="","",Price_table[[#This Row],[Price RRP / EUR]]-Price_table[[#This Row],[Price RRP / EUR]]*$C$20)</f>
        <v/>
      </c>
      <c r="F40" s="53" t="str">
        <f t="shared" si="0"/>
        <v/>
      </c>
      <c r="G40" s="53" t="str">
        <f t="shared" si="1"/>
        <v/>
      </c>
    </row>
    <row r="41" spans="1:7" ht="13.05" customHeight="1">
      <c r="A41" s="82">
        <v>6</v>
      </c>
      <c r="B41" s="78" t="s">
        <v>57</v>
      </c>
      <c r="C41" s="83">
        <v>10.5</v>
      </c>
      <c r="D41" s="55"/>
      <c r="E41" s="53" t="str">
        <f>IF(Price_table[[#This Row],[Order pcs.]]="","",Price_table[[#This Row],[Price RRP / EUR]]-Price_table[[#This Row],[Price RRP / EUR]]*$C$20)</f>
        <v/>
      </c>
      <c r="F41" s="53" t="str">
        <f t="shared" si="0"/>
        <v/>
      </c>
      <c r="G41" s="53" t="str">
        <f t="shared" si="1"/>
        <v/>
      </c>
    </row>
    <row r="42" spans="1:7" ht="13.05" customHeight="1">
      <c r="A42" s="82">
        <v>7</v>
      </c>
      <c r="B42" s="78" t="s">
        <v>58</v>
      </c>
      <c r="C42" s="83">
        <v>12.5</v>
      </c>
      <c r="D42" s="55"/>
      <c r="E42" s="53" t="str">
        <f>IF(Price_table[[#This Row],[Order pcs.]]="","",Price_table[[#This Row],[Price RRP / EUR]]-Price_table[[#This Row],[Price RRP / EUR]]*$C$20)</f>
        <v/>
      </c>
      <c r="F42" s="53" t="str">
        <f t="shared" si="0"/>
        <v/>
      </c>
      <c r="G42" s="53" t="str">
        <f t="shared" si="1"/>
        <v/>
      </c>
    </row>
    <row r="43" spans="1:7" ht="13.05" customHeight="1">
      <c r="A43" s="82">
        <v>8</v>
      </c>
      <c r="B43" s="78" t="s">
        <v>59</v>
      </c>
      <c r="C43" s="83">
        <v>9.9</v>
      </c>
      <c r="D43" s="55"/>
      <c r="E43" s="53" t="str">
        <f>IF(Price_table[[#This Row],[Order pcs.]]="","",Price_table[[#This Row],[Price RRP / EUR]]-Price_table[[#This Row],[Price RRP / EUR]]*$C$20)</f>
        <v/>
      </c>
      <c r="F43" s="53" t="str">
        <f t="shared" si="0"/>
        <v/>
      </c>
      <c r="G43" s="53" t="str">
        <f t="shared" si="1"/>
        <v/>
      </c>
    </row>
    <row r="44" spans="1:7" ht="13.05" customHeight="1">
      <c r="A44" s="82">
        <v>9</v>
      </c>
      <c r="B44" s="78" t="s">
        <v>60</v>
      </c>
      <c r="C44" s="83">
        <v>19.899999999999999</v>
      </c>
      <c r="D44" s="55"/>
      <c r="E44" s="53" t="str">
        <f>IF(Price_table[[#This Row],[Order pcs.]]="","",Price_table[[#This Row],[Price RRP / EUR]]-Price_table[[#This Row],[Price RRP / EUR]]*$C$20)</f>
        <v/>
      </c>
      <c r="F44" s="53" t="str">
        <f t="shared" si="0"/>
        <v/>
      </c>
      <c r="G44" s="53" t="str">
        <f t="shared" si="1"/>
        <v/>
      </c>
    </row>
    <row r="45" spans="1:7" ht="13.05" customHeight="1">
      <c r="A45" s="82">
        <v>10</v>
      </c>
      <c r="B45" s="78" t="s">
        <v>61</v>
      </c>
      <c r="C45" s="83">
        <v>25.9</v>
      </c>
      <c r="D45" s="55"/>
      <c r="E45" s="53" t="str">
        <f>IF(Price_table[[#This Row],[Order pcs.]]="","",Price_table[[#This Row],[Price RRP / EUR]]-Price_table[[#This Row],[Price RRP / EUR]]*$C$20)</f>
        <v/>
      </c>
      <c r="F45" s="53" t="str">
        <f t="shared" si="0"/>
        <v/>
      </c>
      <c r="G45" s="53" t="str">
        <f t="shared" si="1"/>
        <v/>
      </c>
    </row>
    <row r="46" spans="1:7" ht="13.05" customHeight="1">
      <c r="A46" s="82">
        <v>11</v>
      </c>
      <c r="B46" s="78" t="s">
        <v>62</v>
      </c>
      <c r="C46" s="83">
        <v>22.9</v>
      </c>
      <c r="D46" s="55"/>
      <c r="E46" s="53" t="str">
        <f>IF(Price_table[[#This Row],[Order pcs.]]="","",Price_table[[#This Row],[Price RRP / EUR]]-Price_table[[#This Row],[Price RRP / EUR]]*$C$20)</f>
        <v/>
      </c>
      <c r="F46" s="53" t="str">
        <f t="shared" si="0"/>
        <v/>
      </c>
      <c r="G46" s="53" t="str">
        <f t="shared" si="1"/>
        <v/>
      </c>
    </row>
    <row r="47" spans="1:7" ht="13.05" customHeight="1">
      <c r="A47" s="82">
        <v>12</v>
      </c>
      <c r="B47" s="78" t="s">
        <v>63</v>
      </c>
      <c r="C47" s="83">
        <v>9.9</v>
      </c>
      <c r="D47" s="55"/>
      <c r="E47" s="53" t="str">
        <f>IF(Price_table[[#This Row],[Order pcs.]]="","",Price_table[[#This Row],[Price RRP / EUR]]-Price_table[[#This Row],[Price RRP / EUR]]*$C$20)</f>
        <v/>
      </c>
      <c r="F47" s="53" t="str">
        <f t="shared" si="0"/>
        <v/>
      </c>
      <c r="G47" s="53" t="str">
        <f t="shared" si="1"/>
        <v/>
      </c>
    </row>
    <row r="48" spans="1:7" ht="13.05" customHeight="1">
      <c r="A48" s="82">
        <v>13</v>
      </c>
      <c r="B48" s="78" t="s">
        <v>64</v>
      </c>
      <c r="C48" s="83">
        <v>9.9</v>
      </c>
      <c r="D48" s="55"/>
      <c r="E48" s="53" t="str">
        <f>IF(Price_table[[#This Row],[Order pcs.]]="","",Price_table[[#This Row],[Price RRP / EUR]]-Price_table[[#This Row],[Price RRP / EUR]]*$C$20)</f>
        <v/>
      </c>
      <c r="F48" s="53" t="str">
        <f t="shared" si="0"/>
        <v/>
      </c>
      <c r="G48" s="53" t="str">
        <f t="shared" si="1"/>
        <v/>
      </c>
    </row>
    <row r="49" spans="1:7" ht="13.05" customHeight="1">
      <c r="A49" s="82">
        <v>14</v>
      </c>
      <c r="B49" s="78" t="s">
        <v>65</v>
      </c>
      <c r="C49" s="83">
        <v>9.9</v>
      </c>
      <c r="D49" s="55"/>
      <c r="E49" s="53" t="str">
        <f>IF(Price_table[[#This Row],[Order pcs.]]="","",Price_table[[#This Row],[Price RRP / EUR]]-Price_table[[#This Row],[Price RRP / EUR]]*$C$20)</f>
        <v/>
      </c>
      <c r="F49" s="53" t="str">
        <f t="shared" si="0"/>
        <v/>
      </c>
      <c r="G49" s="53" t="str">
        <f t="shared" si="1"/>
        <v/>
      </c>
    </row>
    <row r="50" spans="1:7" ht="13.05" customHeight="1">
      <c r="A50" s="82">
        <v>15</v>
      </c>
      <c r="B50" s="78" t="s">
        <v>66</v>
      </c>
      <c r="C50" s="83">
        <v>9.9</v>
      </c>
      <c r="D50" s="55"/>
      <c r="E50" s="53" t="str">
        <f>IF(Price_table[[#This Row],[Order pcs.]]="","",Price_table[[#This Row],[Price RRP / EUR]]-Price_table[[#This Row],[Price RRP / EUR]]*$C$20)</f>
        <v/>
      </c>
      <c r="F50" s="53" t="str">
        <f t="shared" si="0"/>
        <v/>
      </c>
      <c r="G50" s="53" t="str">
        <f t="shared" si="1"/>
        <v/>
      </c>
    </row>
    <row r="51" spans="1:7" ht="13.05" customHeight="1">
      <c r="A51" s="82">
        <v>16</v>
      </c>
      <c r="B51" s="78" t="s">
        <v>67</v>
      </c>
      <c r="C51" s="83">
        <v>9.9</v>
      </c>
      <c r="D51" s="55"/>
      <c r="E51" s="53" t="str">
        <f>IF(Price_table[[#This Row],[Order pcs.]]="","",Price_table[[#This Row],[Price RRP / EUR]]-Price_table[[#This Row],[Price RRP / EUR]]*$C$20)</f>
        <v/>
      </c>
      <c r="F51" s="53" t="str">
        <f t="shared" si="0"/>
        <v/>
      </c>
      <c r="G51" s="53" t="str">
        <f t="shared" si="1"/>
        <v/>
      </c>
    </row>
    <row r="52" spans="1:7" ht="13.05" customHeight="1">
      <c r="A52" s="84">
        <v>17</v>
      </c>
      <c r="B52" s="78" t="s">
        <v>68</v>
      </c>
      <c r="C52" s="85">
        <v>9.9</v>
      </c>
      <c r="D52" s="57"/>
      <c r="E52" s="56" t="str">
        <f>IF(Price_table[[#This Row],[Order pcs.]]="","",Price_table[[#This Row],[Price RRP / EUR]]-Price_table[[#This Row],[Price RRP / EUR]]*$C$20)</f>
        <v/>
      </c>
      <c r="F52" s="56" t="str">
        <f t="shared" si="0"/>
        <v/>
      </c>
      <c r="G52" s="56" t="str">
        <f t="shared" si="1"/>
        <v/>
      </c>
    </row>
    <row r="53" spans="1:7" s="46" customFormat="1" ht="16.05" customHeight="1">
      <c r="A53" s="75"/>
      <c r="B53" s="94" t="s">
        <v>47</v>
      </c>
      <c r="C53" s="76"/>
      <c r="D53" s="92" t="s">
        <v>37</v>
      </c>
      <c r="E53" s="47"/>
      <c r="F53" s="47"/>
      <c r="G53" s="48"/>
    </row>
    <row r="54" spans="1:7" ht="13.05" customHeight="1">
      <c r="A54" s="77">
        <v>1</v>
      </c>
      <c r="B54" s="78" t="s">
        <v>52</v>
      </c>
      <c r="C54" s="79">
        <v>11.5</v>
      </c>
      <c r="D54" s="50"/>
      <c r="E54" s="49" t="str">
        <f>IF(Price_table[[#This Row],[Order pcs.]]="","",Price_table[[#This Row],[Price RRP / EUR]]-Price_table[[#This Row],[Price RRP / EUR]]*$C$20)</f>
        <v/>
      </c>
      <c r="F54" s="49" t="str">
        <f t="shared" si="0"/>
        <v/>
      </c>
      <c r="G54" s="49" t="str">
        <f t="shared" si="1"/>
        <v/>
      </c>
    </row>
    <row r="55" spans="1:7" ht="13.05" customHeight="1">
      <c r="A55" s="82">
        <v>2</v>
      </c>
      <c r="B55" s="78" t="s">
        <v>53</v>
      </c>
      <c r="C55" s="83">
        <v>10.5</v>
      </c>
      <c r="D55" s="55"/>
      <c r="E55" s="53" t="str">
        <f>IF(Price_table[[#This Row],[Order pcs.]]="","",Price_table[[#This Row],[Price RRP / EUR]]-Price_table[[#This Row],[Price RRP / EUR]]*$C$20)</f>
        <v/>
      </c>
      <c r="F55" s="53" t="str">
        <f t="shared" si="0"/>
        <v/>
      </c>
      <c r="G55" s="53" t="str">
        <f t="shared" si="1"/>
        <v/>
      </c>
    </row>
    <row r="56" spans="1:7" ht="13.05" customHeight="1">
      <c r="A56" s="82">
        <v>3</v>
      </c>
      <c r="B56" s="78" t="s">
        <v>54</v>
      </c>
      <c r="C56" s="83">
        <v>15</v>
      </c>
      <c r="D56" s="55"/>
      <c r="E56" s="53" t="str">
        <f>IF(Price_table[[#This Row],[Order pcs.]]="","",Price_table[[#This Row],[Price RRP / EUR]]-Price_table[[#This Row],[Price RRP / EUR]]*$C$20)</f>
        <v/>
      </c>
      <c r="F56" s="53" t="str">
        <f t="shared" si="0"/>
        <v/>
      </c>
      <c r="G56" s="53" t="str">
        <f t="shared" si="1"/>
        <v/>
      </c>
    </row>
    <row r="57" spans="1:7" ht="13.05" customHeight="1">
      <c r="A57" s="82">
        <v>4</v>
      </c>
      <c r="B57" s="78" t="s">
        <v>55</v>
      </c>
      <c r="C57" s="83">
        <v>12.9</v>
      </c>
      <c r="D57" s="55"/>
      <c r="E57" s="53" t="str">
        <f>IF(Price_table[[#This Row],[Order pcs.]]="","",Price_table[[#This Row],[Price RRP / EUR]]-Price_table[[#This Row],[Price RRP / EUR]]*$C$20)</f>
        <v/>
      </c>
      <c r="F57" s="53" t="str">
        <f t="shared" si="0"/>
        <v/>
      </c>
      <c r="G57" s="53" t="str">
        <f t="shared" si="1"/>
        <v/>
      </c>
    </row>
    <row r="58" spans="1:7" ht="13.05" customHeight="1">
      <c r="A58" s="82">
        <v>5</v>
      </c>
      <c r="B58" s="78" t="s">
        <v>56</v>
      </c>
      <c r="C58" s="83">
        <v>15.5</v>
      </c>
      <c r="D58" s="55"/>
      <c r="E58" s="53" t="str">
        <f>IF(Price_table[[#This Row],[Order pcs.]]="","",Price_table[[#This Row],[Price RRP / EUR]]-Price_table[[#This Row],[Price RRP / EUR]]*$C$20)</f>
        <v/>
      </c>
      <c r="F58" s="53" t="str">
        <f t="shared" si="0"/>
        <v/>
      </c>
      <c r="G58" s="53" t="str">
        <f t="shared" si="1"/>
        <v/>
      </c>
    </row>
    <row r="59" spans="1:7" ht="13.05" customHeight="1">
      <c r="A59" s="82">
        <v>6</v>
      </c>
      <c r="B59" s="78" t="s">
        <v>57</v>
      </c>
      <c r="C59" s="83">
        <v>13.9</v>
      </c>
      <c r="D59" s="55"/>
      <c r="E59" s="53" t="str">
        <f>IF(Price_table[[#This Row],[Order pcs.]]="","",Price_table[[#This Row],[Price RRP / EUR]]-Price_table[[#This Row],[Price RRP / EUR]]*$C$20)</f>
        <v/>
      </c>
      <c r="F59" s="53" t="str">
        <f t="shared" si="0"/>
        <v/>
      </c>
      <c r="G59" s="53" t="str">
        <f t="shared" si="1"/>
        <v/>
      </c>
    </row>
    <row r="60" spans="1:7" ht="13.05" customHeight="1">
      <c r="A60" s="82">
        <v>7</v>
      </c>
      <c r="B60" s="78" t="s">
        <v>58</v>
      </c>
      <c r="C60" s="83">
        <v>15</v>
      </c>
      <c r="D60" s="55"/>
      <c r="E60" s="53" t="str">
        <f>IF(Price_table[[#This Row],[Order pcs.]]="","",Price_table[[#This Row],[Price RRP / EUR]]-Price_table[[#This Row],[Price RRP / EUR]]*$C$20)</f>
        <v/>
      </c>
      <c r="F60" s="53" t="str">
        <f t="shared" si="0"/>
        <v/>
      </c>
      <c r="G60" s="53" t="str">
        <f t="shared" si="1"/>
        <v/>
      </c>
    </row>
    <row r="61" spans="1:7" ht="13.05" customHeight="1">
      <c r="A61" s="82">
        <v>8</v>
      </c>
      <c r="B61" s="78" t="s">
        <v>59</v>
      </c>
      <c r="C61" s="83">
        <v>15</v>
      </c>
      <c r="D61" s="55"/>
      <c r="E61" s="53" t="str">
        <f>IF(Price_table[[#This Row],[Order pcs.]]="","",Price_table[[#This Row],[Price RRP / EUR]]-Price_table[[#This Row],[Price RRP / EUR]]*$C$20)</f>
        <v/>
      </c>
      <c r="F61" s="53" t="str">
        <f t="shared" si="0"/>
        <v/>
      </c>
      <c r="G61" s="53" t="str">
        <f t="shared" si="1"/>
        <v/>
      </c>
    </row>
    <row r="62" spans="1:7" ht="13.05" customHeight="1">
      <c r="A62" s="82">
        <v>9</v>
      </c>
      <c r="B62" s="78" t="s">
        <v>60</v>
      </c>
      <c r="C62" s="83">
        <v>29.5</v>
      </c>
      <c r="D62" s="55"/>
      <c r="E62" s="53" t="str">
        <f>IF(Price_table[[#This Row],[Order pcs.]]="","",Price_table[[#This Row],[Price RRP / EUR]]-Price_table[[#This Row],[Price RRP / EUR]]*$C$20)</f>
        <v/>
      </c>
      <c r="F62" s="53" t="str">
        <f t="shared" si="0"/>
        <v/>
      </c>
      <c r="G62" s="53" t="str">
        <f t="shared" si="1"/>
        <v/>
      </c>
    </row>
    <row r="63" spans="1:7" ht="13.05" customHeight="1">
      <c r="A63" s="82">
        <v>10</v>
      </c>
      <c r="B63" s="78" t="s">
        <v>61</v>
      </c>
      <c r="C63" s="83">
        <v>28.9</v>
      </c>
      <c r="D63" s="55"/>
      <c r="E63" s="53" t="str">
        <f>IF(Price_table[[#This Row],[Order pcs.]]="","",Price_table[[#This Row],[Price RRP / EUR]]-Price_table[[#This Row],[Price RRP / EUR]]*$C$20)</f>
        <v/>
      </c>
      <c r="F63" s="53" t="str">
        <f t="shared" si="0"/>
        <v/>
      </c>
      <c r="G63" s="53" t="str">
        <f t="shared" si="1"/>
        <v/>
      </c>
    </row>
    <row r="64" spans="1:7" ht="13.05" customHeight="1">
      <c r="A64" s="82">
        <v>11</v>
      </c>
      <c r="B64" s="78" t="s">
        <v>62</v>
      </c>
      <c r="C64" s="83">
        <v>18</v>
      </c>
      <c r="D64" s="55"/>
      <c r="E64" s="53" t="str">
        <f>IF(Price_table[[#This Row],[Order pcs.]]="","",Price_table[[#This Row],[Price RRP / EUR]]-Price_table[[#This Row],[Price RRP / EUR]]*$C$20)</f>
        <v/>
      </c>
      <c r="F64" s="53" t="str">
        <f t="shared" si="0"/>
        <v/>
      </c>
      <c r="G64" s="53" t="str">
        <f t="shared" si="1"/>
        <v/>
      </c>
    </row>
    <row r="65" spans="1:7" ht="13.05" customHeight="1">
      <c r="A65" s="82">
        <v>12</v>
      </c>
      <c r="B65" s="78" t="s">
        <v>63</v>
      </c>
      <c r="C65" s="83">
        <v>19.899999999999999</v>
      </c>
      <c r="D65" s="55"/>
      <c r="E65" s="53" t="str">
        <f>IF(Price_table[[#This Row],[Order pcs.]]="","",Price_table[[#This Row],[Price RRP / EUR]]-Price_table[[#This Row],[Price RRP / EUR]]*$C$20)</f>
        <v/>
      </c>
      <c r="F65" s="53" t="str">
        <f t="shared" si="0"/>
        <v/>
      </c>
      <c r="G65" s="53" t="str">
        <f t="shared" si="1"/>
        <v/>
      </c>
    </row>
    <row r="66" spans="1:7" ht="13.05" customHeight="1">
      <c r="A66" s="82">
        <v>13</v>
      </c>
      <c r="B66" s="78" t="s">
        <v>64</v>
      </c>
      <c r="C66" s="83">
        <v>19.899999999999999</v>
      </c>
      <c r="D66" s="55"/>
      <c r="E66" s="53" t="str">
        <f>IF(Price_table[[#This Row],[Order pcs.]]="","",Price_table[[#This Row],[Price RRP / EUR]]-Price_table[[#This Row],[Price RRP / EUR]]*$C$20)</f>
        <v/>
      </c>
      <c r="F66" s="53" t="str">
        <f t="shared" si="0"/>
        <v/>
      </c>
      <c r="G66" s="53" t="str">
        <f t="shared" si="1"/>
        <v/>
      </c>
    </row>
    <row r="67" spans="1:7" ht="13.05" customHeight="1">
      <c r="A67" s="82">
        <v>14</v>
      </c>
      <c r="B67" s="78" t="s">
        <v>65</v>
      </c>
      <c r="C67" s="83">
        <v>19.899999999999999</v>
      </c>
      <c r="D67" s="55"/>
      <c r="E67" s="53" t="str">
        <f>IF(Price_table[[#This Row],[Order pcs.]]="","",Price_table[[#This Row],[Price RRP / EUR]]-Price_table[[#This Row],[Price RRP / EUR]]*$C$20)</f>
        <v/>
      </c>
      <c r="F67" s="53" t="str">
        <f t="shared" si="0"/>
        <v/>
      </c>
      <c r="G67" s="53" t="str">
        <f t="shared" si="1"/>
        <v/>
      </c>
    </row>
    <row r="68" spans="1:7" ht="13.05" customHeight="1">
      <c r="A68" s="82">
        <v>15</v>
      </c>
      <c r="B68" s="78" t="s">
        <v>66</v>
      </c>
      <c r="C68" s="83">
        <v>19.899999999999999</v>
      </c>
      <c r="D68" s="55"/>
      <c r="E68" s="53" t="str">
        <f>IF(Price_table[[#This Row],[Order pcs.]]="","",Price_table[[#This Row],[Price RRP / EUR]]-Price_table[[#This Row],[Price RRP / EUR]]*$C$20)</f>
        <v/>
      </c>
      <c r="F68" s="53" t="str">
        <f t="shared" si="0"/>
        <v/>
      </c>
      <c r="G68" s="53" t="str">
        <f t="shared" si="1"/>
        <v/>
      </c>
    </row>
    <row r="69" spans="1:7" ht="13.05" customHeight="1">
      <c r="A69" s="82">
        <v>16</v>
      </c>
      <c r="B69" s="78" t="s">
        <v>67</v>
      </c>
      <c r="C69" s="83">
        <v>17.989999999999998</v>
      </c>
      <c r="D69" s="55"/>
      <c r="E69" s="53" t="str">
        <f>IF(Price_table[[#This Row],[Order pcs.]]="","",Price_table[[#This Row],[Price RRP / EUR]]-Price_table[[#This Row],[Price RRP / EUR]]*$C$20)</f>
        <v/>
      </c>
      <c r="F69" s="53" t="str">
        <f t="shared" si="0"/>
        <v/>
      </c>
      <c r="G69" s="53" t="str">
        <f t="shared" si="1"/>
        <v/>
      </c>
    </row>
    <row r="70" spans="1:7" ht="13.05" customHeight="1">
      <c r="A70" s="82">
        <v>17</v>
      </c>
      <c r="B70" s="78" t="s">
        <v>68</v>
      </c>
      <c r="C70" s="83">
        <v>29.9</v>
      </c>
      <c r="D70" s="55"/>
      <c r="E70" s="53" t="str">
        <f>IF(Price_table[[#This Row],[Order pcs.]]="","",Price_table[[#This Row],[Price RRP / EUR]]-Price_table[[#This Row],[Price RRP / EUR]]*$C$20)</f>
        <v/>
      </c>
      <c r="F70" s="53" t="str">
        <f t="shared" si="0"/>
        <v/>
      </c>
      <c r="G70" s="53" t="str">
        <f t="shared" si="1"/>
        <v/>
      </c>
    </row>
    <row r="71" spans="1:7" ht="13.05" customHeight="1">
      <c r="A71" s="82">
        <v>18</v>
      </c>
      <c r="B71" s="78" t="s">
        <v>69</v>
      </c>
      <c r="C71" s="83">
        <v>19.5</v>
      </c>
      <c r="D71" s="55"/>
      <c r="E71" s="53" t="str">
        <f>IF(Price_table[[#This Row],[Order pcs.]]="","",Price_table[[#This Row],[Price RRP / EUR]]-Price_table[[#This Row],[Price RRP / EUR]]*$C$20)</f>
        <v/>
      </c>
      <c r="F71" s="53" t="str">
        <f t="shared" si="0"/>
        <v/>
      </c>
      <c r="G71" s="53" t="str">
        <f t="shared" si="1"/>
        <v/>
      </c>
    </row>
    <row r="72" spans="1:7" ht="13.05" customHeight="1">
      <c r="A72" s="82">
        <v>19</v>
      </c>
      <c r="B72" s="78" t="s">
        <v>70</v>
      </c>
      <c r="C72" s="83">
        <v>16.5</v>
      </c>
      <c r="D72" s="55"/>
      <c r="E72" s="53" t="str">
        <f>IF(Price_table[[#This Row],[Order pcs.]]="","",Price_table[[#This Row],[Price RRP / EUR]]-Price_table[[#This Row],[Price RRP / EUR]]*$C$20)</f>
        <v/>
      </c>
      <c r="F72" s="53" t="str">
        <f t="shared" si="0"/>
        <v/>
      </c>
      <c r="G72" s="53" t="str">
        <f t="shared" si="1"/>
        <v/>
      </c>
    </row>
    <row r="73" spans="1:7" ht="13.05" customHeight="1">
      <c r="A73" s="82">
        <v>20</v>
      </c>
      <c r="B73" s="78" t="s">
        <v>71</v>
      </c>
      <c r="C73" s="83">
        <v>15.9</v>
      </c>
      <c r="D73" s="55"/>
      <c r="E73" s="53" t="str">
        <f>IF(Price_table[[#This Row],[Order pcs.]]="","",Price_table[[#This Row],[Price RRP / EUR]]-Price_table[[#This Row],[Price RRP / EUR]]*$C$20)</f>
        <v/>
      </c>
      <c r="F73" s="53" t="str">
        <f t="shared" si="0"/>
        <v/>
      </c>
      <c r="G73" s="53" t="str">
        <f t="shared" si="1"/>
        <v/>
      </c>
    </row>
    <row r="74" spans="1:7" ht="13.05" customHeight="1">
      <c r="A74" s="82">
        <v>21</v>
      </c>
      <c r="B74" s="78" t="s">
        <v>72</v>
      </c>
      <c r="C74" s="83">
        <v>19.5</v>
      </c>
      <c r="D74" s="55"/>
      <c r="E74" s="53" t="str">
        <f>IF(Price_table[[#This Row],[Order pcs.]]="","",Price_table[[#This Row],[Price RRP / EUR]]-Price_table[[#This Row],[Price RRP / EUR]]*$C$20)</f>
        <v/>
      </c>
      <c r="F74" s="53" t="str">
        <f t="shared" si="0"/>
        <v/>
      </c>
      <c r="G74" s="53" t="str">
        <f t="shared" si="1"/>
        <v/>
      </c>
    </row>
    <row r="75" spans="1:7" ht="13.05" customHeight="1">
      <c r="A75" s="82">
        <v>22</v>
      </c>
      <c r="B75" s="78" t="s">
        <v>73</v>
      </c>
      <c r="C75" s="83">
        <v>14.86</v>
      </c>
      <c r="D75" s="55"/>
      <c r="E75" s="53" t="str">
        <f>IF(Price_table[[#This Row],[Order pcs.]]="","",Price_table[[#This Row],[Price RRP / EUR]]-Price_table[[#This Row],[Price RRP / EUR]]*$C$20)</f>
        <v/>
      </c>
      <c r="F75" s="53" t="str">
        <f t="shared" si="0"/>
        <v/>
      </c>
      <c r="G75" s="53" t="str">
        <f t="shared" si="1"/>
        <v/>
      </c>
    </row>
    <row r="76" spans="1:7" ht="13.05" customHeight="1">
      <c r="A76" s="82">
        <v>23</v>
      </c>
      <c r="B76" s="78" t="s">
        <v>74</v>
      </c>
      <c r="C76" s="83">
        <v>16.5</v>
      </c>
      <c r="D76" s="55"/>
      <c r="E76" s="53" t="str">
        <f>IF(Price_table[[#This Row],[Order pcs.]]="","",Price_table[[#This Row],[Price RRP / EUR]]-Price_table[[#This Row],[Price RRP / EUR]]*$C$20)</f>
        <v/>
      </c>
      <c r="F76" s="53" t="str">
        <f t="shared" si="0"/>
        <v/>
      </c>
      <c r="G76" s="53" t="str">
        <f t="shared" si="1"/>
        <v/>
      </c>
    </row>
    <row r="77" spans="1:7" ht="13.05" customHeight="1">
      <c r="A77" s="82">
        <v>24</v>
      </c>
      <c r="B77" s="78" t="s">
        <v>75</v>
      </c>
      <c r="C77" s="83">
        <v>15.9</v>
      </c>
      <c r="D77" s="55"/>
      <c r="E77" s="53" t="str">
        <f>IF(Price_table[[#This Row],[Order pcs.]]="","",Price_table[[#This Row],[Price RRP / EUR]]-Price_table[[#This Row],[Price RRP / EUR]]*$C$20)</f>
        <v/>
      </c>
      <c r="F77" s="53" t="str">
        <f t="shared" si="0"/>
        <v/>
      </c>
      <c r="G77" s="53" t="str">
        <f t="shared" si="1"/>
        <v/>
      </c>
    </row>
    <row r="78" spans="1:7" ht="13.05" customHeight="1">
      <c r="A78" s="82">
        <v>25</v>
      </c>
      <c r="B78" s="78" t="s">
        <v>76</v>
      </c>
      <c r="C78" s="83">
        <v>18</v>
      </c>
      <c r="D78" s="55"/>
      <c r="E78" s="53" t="str">
        <f>IF(Price_table[[#This Row],[Order pcs.]]="","",Price_table[[#This Row],[Price RRP / EUR]]-Price_table[[#This Row],[Price RRP / EUR]]*$C$20)</f>
        <v/>
      </c>
      <c r="F78" s="53" t="str">
        <f t="shared" si="0"/>
        <v/>
      </c>
      <c r="G78" s="53" t="str">
        <f t="shared" si="1"/>
        <v/>
      </c>
    </row>
    <row r="79" spans="1:7" ht="13.05" customHeight="1">
      <c r="A79" s="82">
        <v>26</v>
      </c>
      <c r="B79" s="78" t="s">
        <v>77</v>
      </c>
      <c r="C79" s="83">
        <v>16.899999999999999</v>
      </c>
      <c r="D79" s="55"/>
      <c r="E79" s="53" t="str">
        <f>IF(Price_table[[#This Row],[Order pcs.]]="","",Price_table[[#This Row],[Price RRP / EUR]]-Price_table[[#This Row],[Price RRP / EUR]]*$C$20)</f>
        <v/>
      </c>
      <c r="F79" s="53" t="str">
        <f t="shared" si="0"/>
        <v/>
      </c>
      <c r="G79" s="53" t="str">
        <f t="shared" si="1"/>
        <v/>
      </c>
    </row>
    <row r="80" spans="1:7" ht="13.05" customHeight="1">
      <c r="A80" s="82">
        <v>27</v>
      </c>
      <c r="B80" s="78" t="s">
        <v>78</v>
      </c>
      <c r="C80" s="83">
        <v>15.5</v>
      </c>
      <c r="D80" s="55"/>
      <c r="E80" s="53" t="str">
        <f>IF(Price_table[[#This Row],[Order pcs.]]="","",Price_table[[#This Row],[Price RRP / EUR]]-Price_table[[#This Row],[Price RRP / EUR]]*$C$20)</f>
        <v/>
      </c>
      <c r="F80" s="53" t="str">
        <f t="shared" si="0"/>
        <v/>
      </c>
      <c r="G80" s="53" t="str">
        <f t="shared" si="1"/>
        <v/>
      </c>
    </row>
    <row r="81" spans="1:7" ht="13.05" customHeight="1">
      <c r="A81" s="82">
        <v>28</v>
      </c>
      <c r="B81" s="78" t="s">
        <v>79</v>
      </c>
      <c r="C81" s="83">
        <v>11.9</v>
      </c>
      <c r="D81" s="55"/>
      <c r="E81" s="53" t="str">
        <f>IF(Price_table[[#This Row],[Order pcs.]]="","",Price_table[[#This Row],[Price RRP / EUR]]-Price_table[[#This Row],[Price RRP / EUR]]*$C$20)</f>
        <v/>
      </c>
      <c r="F81" s="53" t="str">
        <f t="shared" si="0"/>
        <v/>
      </c>
      <c r="G81" s="53" t="str">
        <f t="shared" si="1"/>
        <v/>
      </c>
    </row>
    <row r="82" spans="1:7" ht="13.05" customHeight="1">
      <c r="A82" s="82">
        <v>29</v>
      </c>
      <c r="B82" s="78" t="s">
        <v>80</v>
      </c>
      <c r="C82" s="83">
        <v>12</v>
      </c>
      <c r="D82" s="55"/>
      <c r="E82" s="53" t="str">
        <f>IF(Price_table[[#This Row],[Order pcs.]]="","",Price_table[[#This Row],[Price RRP / EUR]]-Price_table[[#This Row],[Price RRP / EUR]]*$C$20)</f>
        <v/>
      </c>
      <c r="F82" s="53" t="str">
        <f t="shared" si="0"/>
        <v/>
      </c>
      <c r="G82" s="53" t="str">
        <f t="shared" si="1"/>
        <v/>
      </c>
    </row>
    <row r="83" spans="1:7" ht="13.05" customHeight="1">
      <c r="A83" s="82">
        <v>30</v>
      </c>
      <c r="B83" s="78" t="s">
        <v>81</v>
      </c>
      <c r="C83" s="83">
        <v>15.9</v>
      </c>
      <c r="D83" s="55"/>
      <c r="E83" s="53" t="str">
        <f>IF(Price_table[[#This Row],[Order pcs.]]="","",Price_table[[#This Row],[Price RRP / EUR]]-Price_table[[#This Row],[Price RRP / EUR]]*$C$20)</f>
        <v/>
      </c>
      <c r="F83" s="53" t="str">
        <f t="shared" si="0"/>
        <v/>
      </c>
      <c r="G83" s="53" t="str">
        <f t="shared" si="1"/>
        <v/>
      </c>
    </row>
    <row r="84" spans="1:7" ht="13.05" customHeight="1">
      <c r="A84" s="82">
        <v>31</v>
      </c>
      <c r="B84" s="78" t="s">
        <v>82</v>
      </c>
      <c r="C84" s="83">
        <v>13.9</v>
      </c>
      <c r="D84" s="55"/>
      <c r="E84" s="53" t="str">
        <f>IF(Price_table[[#This Row],[Order pcs.]]="","",Price_table[[#This Row],[Price RRP / EUR]]-Price_table[[#This Row],[Price RRP / EUR]]*$C$20)</f>
        <v/>
      </c>
      <c r="F84" s="53" t="str">
        <f t="shared" si="0"/>
        <v/>
      </c>
      <c r="G84" s="53" t="str">
        <f t="shared" si="1"/>
        <v/>
      </c>
    </row>
    <row r="85" spans="1:7" ht="13.05" customHeight="1">
      <c r="A85" s="82">
        <v>32</v>
      </c>
      <c r="B85" s="78" t="s">
        <v>83</v>
      </c>
      <c r="C85" s="83">
        <v>12.5</v>
      </c>
      <c r="D85" s="55"/>
      <c r="E85" s="53" t="str">
        <f>IF(Price_table[[#This Row],[Order pcs.]]="","",Price_table[[#This Row],[Price RRP / EUR]]-Price_table[[#This Row],[Price RRP / EUR]]*$C$20)</f>
        <v/>
      </c>
      <c r="F85" s="53" t="str">
        <f t="shared" si="0"/>
        <v/>
      </c>
      <c r="G85" s="53" t="str">
        <f t="shared" si="1"/>
        <v/>
      </c>
    </row>
    <row r="86" spans="1:7" ht="13.05" customHeight="1">
      <c r="A86" s="82">
        <v>33</v>
      </c>
      <c r="B86" s="78" t="s">
        <v>84</v>
      </c>
      <c r="C86" s="83">
        <v>14.9</v>
      </c>
      <c r="D86" s="55"/>
      <c r="E86" s="53" t="str">
        <f>IF(Price_table[[#This Row],[Order pcs.]]="","",Price_table[[#This Row],[Price RRP / EUR]]-Price_table[[#This Row],[Price RRP / EUR]]*$C$20)</f>
        <v/>
      </c>
      <c r="F86" s="53" t="str">
        <f t="shared" si="0"/>
        <v/>
      </c>
      <c r="G86" s="53" t="str">
        <f t="shared" si="1"/>
        <v/>
      </c>
    </row>
    <row r="87" spans="1:7" ht="13.05" customHeight="1">
      <c r="A87" s="82">
        <v>34</v>
      </c>
      <c r="B87" s="78" t="s">
        <v>85</v>
      </c>
      <c r="C87" s="83">
        <v>13.5</v>
      </c>
      <c r="D87" s="55"/>
      <c r="E87" s="53" t="str">
        <f>IF(Price_table[[#This Row],[Order pcs.]]="","",Price_table[[#This Row],[Price RRP / EUR]]-Price_table[[#This Row],[Price RRP / EUR]]*$C$20)</f>
        <v/>
      </c>
      <c r="F87" s="53" t="str">
        <f t="shared" si="0"/>
        <v/>
      </c>
      <c r="G87" s="53" t="str">
        <f t="shared" si="1"/>
        <v/>
      </c>
    </row>
    <row r="88" spans="1:7" ht="13.05" customHeight="1">
      <c r="A88" s="82">
        <v>35</v>
      </c>
      <c r="B88" s="78" t="s">
        <v>86</v>
      </c>
      <c r="C88" s="83">
        <v>12.5</v>
      </c>
      <c r="D88" s="55"/>
      <c r="E88" s="53" t="str">
        <f>IF(Price_table[[#This Row],[Order pcs.]]="","",Price_table[[#This Row],[Price RRP / EUR]]-Price_table[[#This Row],[Price RRP / EUR]]*$C$20)</f>
        <v/>
      </c>
      <c r="F88" s="53" t="str">
        <f t="shared" si="0"/>
        <v/>
      </c>
      <c r="G88" s="53" t="str">
        <f t="shared" si="1"/>
        <v/>
      </c>
    </row>
    <row r="89" spans="1:7" ht="13.05" customHeight="1">
      <c r="A89" s="82">
        <v>36</v>
      </c>
      <c r="B89" s="78" t="s">
        <v>87</v>
      </c>
      <c r="C89" s="83">
        <v>12.9</v>
      </c>
      <c r="D89" s="55"/>
      <c r="E89" s="53" t="str">
        <f>IF(Price_table[[#This Row],[Order pcs.]]="","",Price_table[[#This Row],[Price RRP / EUR]]-Price_table[[#This Row],[Price RRP / EUR]]*$C$20)</f>
        <v/>
      </c>
      <c r="F89" s="53" t="str">
        <f t="shared" ref="F89:F152" si="2">IF(D89="","",C89*D89)</f>
        <v/>
      </c>
      <c r="G89" s="53" t="str">
        <f t="shared" ref="G89:G152" si="3">IF(D89="","",F89-F89*$C$20)</f>
        <v/>
      </c>
    </row>
    <row r="90" spans="1:7" ht="13.05" customHeight="1">
      <c r="A90" s="82">
        <v>37</v>
      </c>
      <c r="B90" s="78" t="s">
        <v>88</v>
      </c>
      <c r="C90" s="83">
        <v>13.9</v>
      </c>
      <c r="D90" s="55"/>
      <c r="E90" s="53" t="str">
        <f>IF(Price_table[[#This Row],[Order pcs.]]="","",Price_table[[#This Row],[Price RRP / EUR]]-Price_table[[#This Row],[Price RRP / EUR]]*$C$20)</f>
        <v/>
      </c>
      <c r="F90" s="53" t="str">
        <f t="shared" si="2"/>
        <v/>
      </c>
      <c r="G90" s="53" t="str">
        <f t="shared" si="3"/>
        <v/>
      </c>
    </row>
    <row r="91" spans="1:7" ht="13.05" customHeight="1">
      <c r="A91" s="82">
        <v>38</v>
      </c>
      <c r="B91" s="78" t="s">
        <v>89</v>
      </c>
      <c r="C91" s="83">
        <v>10.5</v>
      </c>
      <c r="D91" s="55"/>
      <c r="E91" s="53" t="str">
        <f>IF(Price_table[[#This Row],[Order pcs.]]="","",Price_table[[#This Row],[Price RRP / EUR]]-Price_table[[#This Row],[Price RRP / EUR]]*$C$20)</f>
        <v/>
      </c>
      <c r="F91" s="53" t="str">
        <f t="shared" si="2"/>
        <v/>
      </c>
      <c r="G91" s="53" t="str">
        <f t="shared" si="3"/>
        <v/>
      </c>
    </row>
    <row r="92" spans="1:7" ht="13.05" customHeight="1">
      <c r="A92" s="82">
        <v>39</v>
      </c>
      <c r="B92" s="78" t="s">
        <v>90</v>
      </c>
      <c r="C92" s="83">
        <v>15.9</v>
      </c>
      <c r="D92" s="55"/>
      <c r="E92" s="53" t="str">
        <f>IF(Price_table[[#This Row],[Order pcs.]]="","",Price_table[[#This Row],[Price RRP / EUR]]-Price_table[[#This Row],[Price RRP / EUR]]*$C$20)</f>
        <v/>
      </c>
      <c r="F92" s="53" t="str">
        <f t="shared" si="2"/>
        <v/>
      </c>
      <c r="G92" s="53" t="str">
        <f t="shared" si="3"/>
        <v/>
      </c>
    </row>
    <row r="93" spans="1:7" ht="13.05" customHeight="1">
      <c r="A93" s="82">
        <v>40</v>
      </c>
      <c r="B93" s="78" t="s">
        <v>91</v>
      </c>
      <c r="C93" s="83">
        <v>10</v>
      </c>
      <c r="D93" s="55"/>
      <c r="E93" s="53" t="str">
        <f>IF(Price_table[[#This Row],[Order pcs.]]="","",Price_table[[#This Row],[Price RRP / EUR]]-Price_table[[#This Row],[Price RRP / EUR]]*$C$20)</f>
        <v/>
      </c>
      <c r="F93" s="53" t="str">
        <f t="shared" si="2"/>
        <v/>
      </c>
      <c r="G93" s="53" t="str">
        <f t="shared" si="3"/>
        <v/>
      </c>
    </row>
    <row r="94" spans="1:7" ht="13.05" customHeight="1">
      <c r="A94" s="82">
        <v>41</v>
      </c>
      <c r="B94" s="78" t="s">
        <v>92</v>
      </c>
      <c r="C94" s="83">
        <v>17.899999999999999</v>
      </c>
      <c r="D94" s="55"/>
      <c r="E94" s="53" t="str">
        <f>IF(Price_table[[#This Row],[Order pcs.]]="","",Price_table[[#This Row],[Price RRP / EUR]]-Price_table[[#This Row],[Price RRP / EUR]]*$C$20)</f>
        <v/>
      </c>
      <c r="F94" s="53" t="str">
        <f t="shared" si="2"/>
        <v/>
      </c>
      <c r="G94" s="53" t="str">
        <f t="shared" si="3"/>
        <v/>
      </c>
    </row>
    <row r="95" spans="1:7" ht="13.05" customHeight="1">
      <c r="A95" s="82">
        <v>42</v>
      </c>
      <c r="B95" s="78" t="s">
        <v>93</v>
      </c>
      <c r="C95" s="83">
        <v>17.899999999999999</v>
      </c>
      <c r="D95" s="55"/>
      <c r="E95" s="53" t="str">
        <f>IF(Price_table[[#This Row],[Order pcs.]]="","",Price_table[[#This Row],[Price RRP / EUR]]-Price_table[[#This Row],[Price RRP / EUR]]*$C$20)</f>
        <v/>
      </c>
      <c r="F95" s="53" t="str">
        <f t="shared" si="2"/>
        <v/>
      </c>
      <c r="G95" s="53" t="str">
        <f t="shared" si="3"/>
        <v/>
      </c>
    </row>
    <row r="96" spans="1:7" ht="13.05" customHeight="1">
      <c r="A96" s="82">
        <v>43</v>
      </c>
      <c r="B96" s="78" t="s">
        <v>94</v>
      </c>
      <c r="C96" s="83">
        <v>10.5</v>
      </c>
      <c r="D96" s="55"/>
      <c r="E96" s="53" t="str">
        <f>IF(Price_table[[#This Row],[Order pcs.]]="","",Price_table[[#This Row],[Price RRP / EUR]]-Price_table[[#This Row],[Price RRP / EUR]]*$C$20)</f>
        <v/>
      </c>
      <c r="F96" s="53" t="str">
        <f t="shared" si="2"/>
        <v/>
      </c>
      <c r="G96" s="53" t="str">
        <f t="shared" si="3"/>
        <v/>
      </c>
    </row>
    <row r="97" spans="1:7" ht="13.05" customHeight="1">
      <c r="A97" s="82">
        <v>44</v>
      </c>
      <c r="B97" s="78" t="s">
        <v>95</v>
      </c>
      <c r="C97" s="83">
        <v>14.5</v>
      </c>
      <c r="D97" s="55"/>
      <c r="E97" s="53" t="str">
        <f>IF(Price_table[[#This Row],[Order pcs.]]="","",Price_table[[#This Row],[Price RRP / EUR]]-Price_table[[#This Row],[Price RRP / EUR]]*$C$20)</f>
        <v/>
      </c>
      <c r="F97" s="53" t="str">
        <f t="shared" si="2"/>
        <v/>
      </c>
      <c r="G97" s="53" t="str">
        <f t="shared" si="3"/>
        <v/>
      </c>
    </row>
    <row r="98" spans="1:7" ht="13.05" customHeight="1">
      <c r="A98" s="82">
        <v>45</v>
      </c>
      <c r="B98" s="78" t="s">
        <v>96</v>
      </c>
      <c r="C98" s="83">
        <v>14.5</v>
      </c>
      <c r="D98" s="55"/>
      <c r="E98" s="53" t="str">
        <f>IF(Price_table[[#This Row],[Order pcs.]]="","",Price_table[[#This Row],[Price RRP / EUR]]-Price_table[[#This Row],[Price RRP / EUR]]*$C$20)</f>
        <v/>
      </c>
      <c r="F98" s="53" t="str">
        <f t="shared" si="2"/>
        <v/>
      </c>
      <c r="G98" s="53" t="str">
        <f t="shared" si="3"/>
        <v/>
      </c>
    </row>
    <row r="99" spans="1:7" ht="13.05" customHeight="1">
      <c r="A99" s="82">
        <v>46</v>
      </c>
      <c r="B99" s="78" t="s">
        <v>97</v>
      </c>
      <c r="C99" s="83">
        <v>14</v>
      </c>
      <c r="D99" s="55"/>
      <c r="E99" s="53" t="str">
        <f>IF(Price_table[[#This Row],[Order pcs.]]="","",Price_table[[#This Row],[Price RRP / EUR]]-Price_table[[#This Row],[Price RRP / EUR]]*$C$20)</f>
        <v/>
      </c>
      <c r="F99" s="53" t="str">
        <f t="shared" si="2"/>
        <v/>
      </c>
      <c r="G99" s="53" t="str">
        <f t="shared" si="3"/>
        <v/>
      </c>
    </row>
    <row r="100" spans="1:7" ht="13.05" customHeight="1">
      <c r="A100" s="82">
        <v>47</v>
      </c>
      <c r="B100" s="78" t="s">
        <v>98</v>
      </c>
      <c r="C100" s="83">
        <v>16.5</v>
      </c>
      <c r="D100" s="55"/>
      <c r="E100" s="53" t="str">
        <f>IF(Price_table[[#This Row],[Order pcs.]]="","",Price_table[[#This Row],[Price RRP / EUR]]-Price_table[[#This Row],[Price RRP / EUR]]*$C$20)</f>
        <v/>
      </c>
      <c r="F100" s="53" t="str">
        <f t="shared" si="2"/>
        <v/>
      </c>
      <c r="G100" s="53" t="str">
        <f t="shared" si="3"/>
        <v/>
      </c>
    </row>
    <row r="101" spans="1:7" ht="13.05" customHeight="1">
      <c r="A101" s="82">
        <v>48</v>
      </c>
      <c r="B101" s="78" t="s">
        <v>99</v>
      </c>
      <c r="C101" s="83">
        <v>15</v>
      </c>
      <c r="D101" s="55"/>
      <c r="E101" s="53" t="str">
        <f>IF(Price_table[[#This Row],[Order pcs.]]="","",Price_table[[#This Row],[Price RRP / EUR]]-Price_table[[#This Row],[Price RRP / EUR]]*$C$20)</f>
        <v/>
      </c>
      <c r="F101" s="53" t="str">
        <f t="shared" si="2"/>
        <v/>
      </c>
      <c r="G101" s="53" t="str">
        <f t="shared" si="3"/>
        <v/>
      </c>
    </row>
    <row r="102" spans="1:7" ht="13.05" customHeight="1">
      <c r="A102" s="82">
        <v>49</v>
      </c>
      <c r="B102" s="78" t="s">
        <v>100</v>
      </c>
      <c r="C102" s="83">
        <v>13</v>
      </c>
      <c r="D102" s="55"/>
      <c r="E102" s="53" t="str">
        <f>IF(Price_table[[#This Row],[Order pcs.]]="","",Price_table[[#This Row],[Price RRP / EUR]]-Price_table[[#This Row],[Price RRP / EUR]]*$C$20)</f>
        <v/>
      </c>
      <c r="F102" s="53" t="str">
        <f t="shared" si="2"/>
        <v/>
      </c>
      <c r="G102" s="53" t="str">
        <f t="shared" si="3"/>
        <v/>
      </c>
    </row>
    <row r="103" spans="1:7" ht="13.05" customHeight="1">
      <c r="A103" s="84">
        <v>50</v>
      </c>
      <c r="B103" s="78" t="s">
        <v>101</v>
      </c>
      <c r="C103" s="85">
        <v>13.9</v>
      </c>
      <c r="D103" s="57"/>
      <c r="E103" s="56" t="str">
        <f>IF(Price_table[[#This Row],[Order pcs.]]="","",Price_table[[#This Row],[Price RRP / EUR]]-Price_table[[#This Row],[Price RRP / EUR]]*$C$20)</f>
        <v/>
      </c>
      <c r="F103" s="56" t="str">
        <f t="shared" si="2"/>
        <v/>
      </c>
      <c r="G103" s="56" t="str">
        <f t="shared" si="3"/>
        <v/>
      </c>
    </row>
    <row r="104" spans="1:7" s="46" customFormat="1" ht="16.05" customHeight="1">
      <c r="A104" s="75"/>
      <c r="B104" s="94" t="s">
        <v>48</v>
      </c>
      <c r="C104" s="76"/>
      <c r="D104" s="92" t="s">
        <v>37</v>
      </c>
      <c r="E104" s="47"/>
      <c r="F104" s="47"/>
      <c r="G104" s="48"/>
    </row>
    <row r="105" spans="1:7" ht="13.05" customHeight="1">
      <c r="A105" s="86">
        <v>1</v>
      </c>
      <c r="B105" s="78" t="s">
        <v>52</v>
      </c>
      <c r="C105" s="87">
        <v>26.5</v>
      </c>
      <c r="D105" s="59"/>
      <c r="E105" s="58" t="str">
        <f>IF(Price_table[[#This Row],[Order pcs.]]="","",Price_table[[#This Row],[Price RRP / EUR]]-Price_table[[#This Row],[Price RRP / EUR]]*$C$20)</f>
        <v/>
      </c>
      <c r="F105" s="58" t="str">
        <f t="shared" si="2"/>
        <v/>
      </c>
      <c r="G105" s="58" t="str">
        <f t="shared" si="3"/>
        <v/>
      </c>
    </row>
    <row r="106" spans="1:7" ht="13.05" customHeight="1">
      <c r="A106" s="82">
        <v>2</v>
      </c>
      <c r="B106" s="78" t="s">
        <v>53</v>
      </c>
      <c r="C106" s="83">
        <v>19</v>
      </c>
      <c r="D106" s="55"/>
      <c r="E106" s="53" t="str">
        <f>IF(Price_table[[#This Row],[Order pcs.]]="","",Price_table[[#This Row],[Price RRP / EUR]]-Price_table[[#This Row],[Price RRP / EUR]]*$C$20)</f>
        <v/>
      </c>
      <c r="F106" s="53" t="str">
        <f t="shared" si="2"/>
        <v/>
      </c>
      <c r="G106" s="53" t="str">
        <f t="shared" si="3"/>
        <v/>
      </c>
    </row>
    <row r="107" spans="1:7" ht="13.05" customHeight="1">
      <c r="A107" s="80">
        <v>3</v>
      </c>
      <c r="B107" s="78" t="s">
        <v>54</v>
      </c>
      <c r="C107" s="81">
        <v>27.5</v>
      </c>
      <c r="D107" s="52"/>
      <c r="E107" s="51" t="str">
        <f>IF(Price_table[[#This Row],[Order pcs.]]="","",Price_table[[#This Row],[Price RRP / EUR]]-Price_table[[#This Row],[Price RRP / EUR]]*$C$20)</f>
        <v/>
      </c>
      <c r="F107" s="51" t="str">
        <f t="shared" si="2"/>
        <v/>
      </c>
      <c r="G107" s="51" t="str">
        <f t="shared" si="3"/>
        <v/>
      </c>
    </row>
    <row r="108" spans="1:7" ht="13.05" customHeight="1">
      <c r="A108" s="82">
        <v>4</v>
      </c>
      <c r="B108" s="78" t="s">
        <v>55</v>
      </c>
      <c r="C108" s="83">
        <v>22.9</v>
      </c>
      <c r="D108" s="55"/>
      <c r="E108" s="53" t="str">
        <f>IF(Price_table[[#This Row],[Order pcs.]]="","",Price_table[[#This Row],[Price RRP / EUR]]-Price_table[[#This Row],[Price RRP / EUR]]*$C$20)</f>
        <v/>
      </c>
      <c r="F108" s="53" t="str">
        <f t="shared" si="2"/>
        <v/>
      </c>
      <c r="G108" s="53" t="str">
        <f t="shared" si="3"/>
        <v/>
      </c>
    </row>
    <row r="109" spans="1:7" ht="13.05" customHeight="1">
      <c r="A109" s="82">
        <v>5</v>
      </c>
      <c r="B109" s="78" t="s">
        <v>56</v>
      </c>
      <c r="C109" s="83">
        <v>18.899999999999999</v>
      </c>
      <c r="D109" s="55"/>
      <c r="E109" s="53" t="str">
        <f>IF(Price_table[[#This Row],[Order pcs.]]="","",Price_table[[#This Row],[Price RRP / EUR]]-Price_table[[#This Row],[Price RRP / EUR]]*$C$20)</f>
        <v/>
      </c>
      <c r="F109" s="53" t="str">
        <f t="shared" si="2"/>
        <v/>
      </c>
      <c r="G109" s="53" t="str">
        <f t="shared" si="3"/>
        <v/>
      </c>
    </row>
    <row r="110" spans="1:7" ht="13.05" customHeight="1">
      <c r="A110" s="82">
        <v>6</v>
      </c>
      <c r="B110" s="78" t="s">
        <v>57</v>
      </c>
      <c r="C110" s="83">
        <v>18.899999999999999</v>
      </c>
      <c r="D110" s="55"/>
      <c r="E110" s="53" t="str">
        <f>IF(Price_table[[#This Row],[Order pcs.]]="","",Price_table[[#This Row],[Price RRP / EUR]]-Price_table[[#This Row],[Price RRP / EUR]]*$C$20)</f>
        <v/>
      </c>
      <c r="F110" s="53" t="str">
        <f t="shared" si="2"/>
        <v/>
      </c>
      <c r="G110" s="53" t="str">
        <f t="shared" si="3"/>
        <v/>
      </c>
    </row>
    <row r="111" spans="1:7" ht="13.05" customHeight="1">
      <c r="A111" s="82">
        <v>7</v>
      </c>
      <c r="B111" s="78" t="s">
        <v>58</v>
      </c>
      <c r="C111" s="83">
        <v>32</v>
      </c>
      <c r="D111" s="55"/>
      <c r="E111" s="53" t="str">
        <f>IF(Price_table[[#This Row],[Order pcs.]]="","",Price_table[[#This Row],[Price RRP / EUR]]-Price_table[[#This Row],[Price RRP / EUR]]*$C$20)</f>
        <v/>
      </c>
      <c r="F111" s="53" t="str">
        <f t="shared" si="2"/>
        <v/>
      </c>
      <c r="G111" s="53" t="str">
        <f t="shared" si="3"/>
        <v/>
      </c>
    </row>
    <row r="112" spans="1:7" ht="13.05" customHeight="1">
      <c r="A112" s="82">
        <v>8</v>
      </c>
      <c r="B112" s="78" t="s">
        <v>59</v>
      </c>
      <c r="C112" s="83">
        <v>19.899999999999999</v>
      </c>
      <c r="D112" s="55"/>
      <c r="E112" s="53" t="str">
        <f>IF(Price_table[[#This Row],[Order pcs.]]="","",Price_table[[#This Row],[Price RRP / EUR]]-Price_table[[#This Row],[Price RRP / EUR]]*$C$20)</f>
        <v/>
      </c>
      <c r="F112" s="53" t="str">
        <f t="shared" si="2"/>
        <v/>
      </c>
      <c r="G112" s="53" t="str">
        <f t="shared" si="3"/>
        <v/>
      </c>
    </row>
    <row r="113" spans="1:7" ht="13.05" customHeight="1">
      <c r="A113" s="82">
        <v>9</v>
      </c>
      <c r="B113" s="78" t="s">
        <v>60</v>
      </c>
      <c r="C113" s="83">
        <v>22</v>
      </c>
      <c r="D113" s="55"/>
      <c r="E113" s="53" t="str">
        <f>IF(Price_table[[#This Row],[Order pcs.]]="","",Price_table[[#This Row],[Price RRP / EUR]]-Price_table[[#This Row],[Price RRP / EUR]]*$C$20)</f>
        <v/>
      </c>
      <c r="F113" s="53" t="str">
        <f t="shared" si="2"/>
        <v/>
      </c>
      <c r="G113" s="53" t="str">
        <f t="shared" si="3"/>
        <v/>
      </c>
    </row>
    <row r="114" spans="1:7" ht="13.05" customHeight="1">
      <c r="A114" s="82">
        <v>10</v>
      </c>
      <c r="B114" s="78" t="s">
        <v>61</v>
      </c>
      <c r="C114" s="83">
        <v>18.5</v>
      </c>
      <c r="D114" s="55"/>
      <c r="E114" s="53" t="str">
        <f>IF(Price_table[[#This Row],[Order pcs.]]="","",Price_table[[#This Row],[Price RRP / EUR]]-Price_table[[#This Row],[Price RRP / EUR]]*$C$20)</f>
        <v/>
      </c>
      <c r="F114" s="53" t="str">
        <f t="shared" si="2"/>
        <v/>
      </c>
      <c r="G114" s="53" t="str">
        <f t="shared" si="3"/>
        <v/>
      </c>
    </row>
    <row r="115" spans="1:7" ht="13.05" customHeight="1">
      <c r="A115" s="82">
        <v>11</v>
      </c>
      <c r="B115" s="78" t="s">
        <v>62</v>
      </c>
      <c r="C115" s="83">
        <v>17.899999999999999</v>
      </c>
      <c r="D115" s="55"/>
      <c r="E115" s="53" t="str">
        <f>IF(Price_table[[#This Row],[Order pcs.]]="","",Price_table[[#This Row],[Price RRP / EUR]]-Price_table[[#This Row],[Price RRP / EUR]]*$C$20)</f>
        <v/>
      </c>
      <c r="F115" s="53" t="str">
        <f t="shared" si="2"/>
        <v/>
      </c>
      <c r="G115" s="53" t="str">
        <f t="shared" si="3"/>
        <v/>
      </c>
    </row>
    <row r="116" spans="1:7" ht="13.05" customHeight="1">
      <c r="A116" s="82">
        <v>12</v>
      </c>
      <c r="B116" s="78" t="s">
        <v>63</v>
      </c>
      <c r="C116" s="83">
        <v>17.5</v>
      </c>
      <c r="D116" s="55"/>
      <c r="E116" s="53" t="str">
        <f>IF(Price_table[[#This Row],[Order pcs.]]="","",Price_table[[#This Row],[Price RRP / EUR]]-Price_table[[#This Row],[Price RRP / EUR]]*$C$20)</f>
        <v/>
      </c>
      <c r="F116" s="53" t="str">
        <f t="shared" si="2"/>
        <v/>
      </c>
      <c r="G116" s="53" t="str">
        <f t="shared" si="3"/>
        <v/>
      </c>
    </row>
    <row r="117" spans="1:7" ht="13.05" customHeight="1">
      <c r="A117" s="82">
        <v>13</v>
      </c>
      <c r="B117" s="78" t="s">
        <v>64</v>
      </c>
      <c r="C117" s="83">
        <v>19.5</v>
      </c>
      <c r="D117" s="55"/>
      <c r="E117" s="53" t="str">
        <f>IF(Price_table[[#This Row],[Order pcs.]]="","",Price_table[[#This Row],[Price RRP / EUR]]-Price_table[[#This Row],[Price RRP / EUR]]*$C$20)</f>
        <v/>
      </c>
      <c r="F117" s="53" t="str">
        <f t="shared" si="2"/>
        <v/>
      </c>
      <c r="G117" s="53" t="str">
        <f t="shared" si="3"/>
        <v/>
      </c>
    </row>
    <row r="118" spans="1:7" ht="13.05" customHeight="1">
      <c r="A118" s="82">
        <v>14</v>
      </c>
      <c r="B118" s="78" t="s">
        <v>65</v>
      </c>
      <c r="C118" s="83">
        <v>18.5</v>
      </c>
      <c r="D118" s="55"/>
      <c r="E118" s="53" t="str">
        <f>IF(Price_table[[#This Row],[Order pcs.]]="","",Price_table[[#This Row],[Price RRP / EUR]]-Price_table[[#This Row],[Price RRP / EUR]]*$C$20)</f>
        <v/>
      </c>
      <c r="F118" s="53" t="str">
        <f t="shared" si="2"/>
        <v/>
      </c>
      <c r="G118" s="53" t="str">
        <f t="shared" si="3"/>
        <v/>
      </c>
    </row>
    <row r="119" spans="1:7" ht="13.05" customHeight="1">
      <c r="A119" s="82">
        <v>15</v>
      </c>
      <c r="B119" s="78" t="s">
        <v>66</v>
      </c>
      <c r="C119" s="83">
        <v>16.899999999999999</v>
      </c>
      <c r="D119" s="55"/>
      <c r="E119" s="53" t="str">
        <f>IF(Price_table[[#This Row],[Order pcs.]]="","",Price_table[[#This Row],[Price RRP / EUR]]-Price_table[[#This Row],[Price RRP / EUR]]*$C$20)</f>
        <v/>
      </c>
      <c r="F119" s="53" t="str">
        <f t="shared" si="2"/>
        <v/>
      </c>
      <c r="G119" s="53" t="str">
        <f t="shared" si="3"/>
        <v/>
      </c>
    </row>
    <row r="120" spans="1:7" ht="13.05" customHeight="1">
      <c r="A120" s="82">
        <v>16</v>
      </c>
      <c r="B120" s="78" t="s">
        <v>67</v>
      </c>
      <c r="C120" s="83">
        <v>20</v>
      </c>
      <c r="D120" s="55"/>
      <c r="E120" s="53" t="str">
        <f>IF(Price_table[[#This Row],[Order pcs.]]="","",Price_table[[#This Row],[Price RRP / EUR]]-Price_table[[#This Row],[Price RRP / EUR]]*$C$20)</f>
        <v/>
      </c>
      <c r="F120" s="53" t="str">
        <f t="shared" si="2"/>
        <v/>
      </c>
      <c r="G120" s="53" t="str">
        <f t="shared" si="3"/>
        <v/>
      </c>
    </row>
    <row r="121" spans="1:7" ht="13.05" customHeight="1">
      <c r="A121" s="82">
        <v>17</v>
      </c>
      <c r="B121" s="78" t="s">
        <v>68</v>
      </c>
      <c r="C121" s="83">
        <v>17.5</v>
      </c>
      <c r="D121" s="55"/>
      <c r="E121" s="53" t="str">
        <f>IF(Price_table[[#This Row],[Order pcs.]]="","",Price_table[[#This Row],[Price RRP / EUR]]-Price_table[[#This Row],[Price RRP / EUR]]*$C$20)</f>
        <v/>
      </c>
      <c r="F121" s="53" t="str">
        <f t="shared" si="2"/>
        <v/>
      </c>
      <c r="G121" s="53" t="str">
        <f t="shared" si="3"/>
        <v/>
      </c>
    </row>
    <row r="122" spans="1:7" ht="13.05" customHeight="1">
      <c r="A122" s="82">
        <v>18</v>
      </c>
      <c r="B122" s="78" t="s">
        <v>69</v>
      </c>
      <c r="C122" s="83">
        <v>23.9</v>
      </c>
      <c r="D122" s="55"/>
      <c r="E122" s="53" t="str">
        <f>IF(Price_table[[#This Row],[Order pcs.]]="","",Price_table[[#This Row],[Price RRP / EUR]]-Price_table[[#This Row],[Price RRP / EUR]]*$C$20)</f>
        <v/>
      </c>
      <c r="F122" s="53" t="str">
        <f t="shared" si="2"/>
        <v/>
      </c>
      <c r="G122" s="53" t="str">
        <f t="shared" si="3"/>
        <v/>
      </c>
    </row>
    <row r="123" spans="1:7" ht="13.05" customHeight="1">
      <c r="A123" s="82">
        <v>19</v>
      </c>
      <c r="B123" s="78" t="s">
        <v>70</v>
      </c>
      <c r="C123" s="83">
        <v>12.5</v>
      </c>
      <c r="D123" s="55"/>
      <c r="E123" s="53" t="str">
        <f>IF(Price_table[[#This Row],[Order pcs.]]="","",Price_table[[#This Row],[Price RRP / EUR]]-Price_table[[#This Row],[Price RRP / EUR]]*$C$20)</f>
        <v/>
      </c>
      <c r="F123" s="53" t="str">
        <f t="shared" si="2"/>
        <v/>
      </c>
      <c r="G123" s="53" t="str">
        <f t="shared" si="3"/>
        <v/>
      </c>
    </row>
    <row r="124" spans="1:7" ht="13.05" customHeight="1">
      <c r="A124" s="82">
        <v>20</v>
      </c>
      <c r="B124" s="78" t="s">
        <v>71</v>
      </c>
      <c r="C124" s="83">
        <v>13.5</v>
      </c>
      <c r="D124" s="55"/>
      <c r="E124" s="53" t="str">
        <f>IF(Price_table[[#This Row],[Order pcs.]]="","",Price_table[[#This Row],[Price RRP / EUR]]-Price_table[[#This Row],[Price RRP / EUR]]*$C$20)</f>
        <v/>
      </c>
      <c r="F124" s="53" t="str">
        <f t="shared" si="2"/>
        <v/>
      </c>
      <c r="G124" s="53" t="str">
        <f t="shared" si="3"/>
        <v/>
      </c>
    </row>
    <row r="125" spans="1:7" ht="13.05" customHeight="1">
      <c r="A125" s="82">
        <v>21</v>
      </c>
      <c r="B125" s="78" t="s">
        <v>72</v>
      </c>
      <c r="C125" s="83">
        <v>23.9</v>
      </c>
      <c r="D125" s="55"/>
      <c r="E125" s="53" t="str">
        <f>IF(Price_table[[#This Row],[Order pcs.]]="","",Price_table[[#This Row],[Price RRP / EUR]]-Price_table[[#This Row],[Price RRP / EUR]]*$C$20)</f>
        <v/>
      </c>
      <c r="F125" s="53" t="str">
        <f t="shared" si="2"/>
        <v/>
      </c>
      <c r="G125" s="53" t="str">
        <f t="shared" si="3"/>
        <v/>
      </c>
    </row>
    <row r="126" spans="1:7" ht="13.05" customHeight="1">
      <c r="A126" s="82">
        <v>22</v>
      </c>
      <c r="B126" s="78" t="s">
        <v>73</v>
      </c>
      <c r="C126" s="83">
        <v>12.9</v>
      </c>
      <c r="D126" s="55"/>
      <c r="E126" s="53" t="str">
        <f>IF(Price_table[[#This Row],[Order pcs.]]="","",Price_table[[#This Row],[Price RRP / EUR]]-Price_table[[#This Row],[Price RRP / EUR]]*$C$20)</f>
        <v/>
      </c>
      <c r="F126" s="53" t="str">
        <f t="shared" si="2"/>
        <v/>
      </c>
      <c r="G126" s="53" t="str">
        <f t="shared" si="3"/>
        <v/>
      </c>
    </row>
    <row r="127" spans="1:7" ht="13.05" customHeight="1">
      <c r="A127" s="82">
        <v>23</v>
      </c>
      <c r="B127" s="78" t="s">
        <v>74</v>
      </c>
      <c r="C127" s="83">
        <v>20.5</v>
      </c>
      <c r="D127" s="55"/>
      <c r="E127" s="53" t="str">
        <f>IF(Price_table[[#This Row],[Order pcs.]]="","",Price_table[[#This Row],[Price RRP / EUR]]-Price_table[[#This Row],[Price RRP / EUR]]*$C$20)</f>
        <v/>
      </c>
      <c r="F127" s="53" t="str">
        <f t="shared" si="2"/>
        <v/>
      </c>
      <c r="G127" s="53" t="str">
        <f t="shared" si="3"/>
        <v/>
      </c>
    </row>
    <row r="128" spans="1:7" ht="13.05" customHeight="1">
      <c r="A128" s="82">
        <v>24</v>
      </c>
      <c r="B128" s="78" t="s">
        <v>75</v>
      </c>
      <c r="C128" s="83">
        <v>14.9</v>
      </c>
      <c r="D128" s="55"/>
      <c r="E128" s="53" t="str">
        <f>IF(Price_table[[#This Row],[Order pcs.]]="","",Price_table[[#This Row],[Price RRP / EUR]]-Price_table[[#This Row],[Price RRP / EUR]]*$C$20)</f>
        <v/>
      </c>
      <c r="F128" s="53" t="str">
        <f t="shared" si="2"/>
        <v/>
      </c>
      <c r="G128" s="53" t="str">
        <f t="shared" si="3"/>
        <v/>
      </c>
    </row>
    <row r="129" spans="1:7" ht="13.05" customHeight="1">
      <c r="A129" s="82">
        <v>25</v>
      </c>
      <c r="B129" s="78" t="s">
        <v>76</v>
      </c>
      <c r="C129" s="83">
        <v>20.9</v>
      </c>
      <c r="D129" s="55"/>
      <c r="E129" s="53" t="str">
        <f>IF(Price_table[[#This Row],[Order pcs.]]="","",Price_table[[#This Row],[Price RRP / EUR]]-Price_table[[#This Row],[Price RRP / EUR]]*$C$20)</f>
        <v/>
      </c>
      <c r="F129" s="53" t="str">
        <f t="shared" si="2"/>
        <v/>
      </c>
      <c r="G129" s="53" t="str">
        <f t="shared" si="3"/>
        <v/>
      </c>
    </row>
    <row r="130" spans="1:7" ht="13.05" customHeight="1">
      <c r="A130" s="82">
        <v>26</v>
      </c>
      <c r="B130" s="78" t="s">
        <v>77</v>
      </c>
      <c r="C130" s="83">
        <v>14.9</v>
      </c>
      <c r="D130" s="55"/>
      <c r="E130" s="53" t="str">
        <f>IF(Price_table[[#This Row],[Order pcs.]]="","",Price_table[[#This Row],[Price RRP / EUR]]-Price_table[[#This Row],[Price RRP / EUR]]*$C$20)</f>
        <v/>
      </c>
      <c r="F130" s="53" t="str">
        <f t="shared" si="2"/>
        <v/>
      </c>
      <c r="G130" s="53" t="str">
        <f t="shared" si="3"/>
        <v/>
      </c>
    </row>
    <row r="131" spans="1:7" ht="13.05" customHeight="1">
      <c r="A131" s="82">
        <v>27</v>
      </c>
      <c r="B131" s="78" t="s">
        <v>78</v>
      </c>
      <c r="C131" s="83">
        <v>17.899999999999999</v>
      </c>
      <c r="D131" s="55"/>
      <c r="E131" s="53" t="str">
        <f>IF(Price_table[[#This Row],[Order pcs.]]="","",Price_table[[#This Row],[Price RRP / EUR]]-Price_table[[#This Row],[Price RRP / EUR]]*$C$20)</f>
        <v/>
      </c>
      <c r="F131" s="53" t="str">
        <f t="shared" si="2"/>
        <v/>
      </c>
      <c r="G131" s="53" t="str">
        <f t="shared" si="3"/>
        <v/>
      </c>
    </row>
    <row r="132" spans="1:7" ht="13.05" customHeight="1">
      <c r="A132" s="82">
        <v>28</v>
      </c>
      <c r="B132" s="78" t="s">
        <v>79</v>
      </c>
      <c r="C132" s="83">
        <v>14.5</v>
      </c>
      <c r="D132" s="55"/>
      <c r="E132" s="53" t="str">
        <f>IF(Price_table[[#This Row],[Order pcs.]]="","",Price_table[[#This Row],[Price RRP / EUR]]-Price_table[[#This Row],[Price RRP / EUR]]*$C$20)</f>
        <v/>
      </c>
      <c r="F132" s="53" t="str">
        <f t="shared" si="2"/>
        <v/>
      </c>
      <c r="G132" s="53" t="str">
        <f t="shared" si="3"/>
        <v/>
      </c>
    </row>
    <row r="133" spans="1:7" ht="13.05" customHeight="1">
      <c r="A133" s="82">
        <v>29</v>
      </c>
      <c r="B133" s="78" t="s">
        <v>80</v>
      </c>
      <c r="C133" s="83">
        <v>14.5</v>
      </c>
      <c r="D133" s="55"/>
      <c r="E133" s="53" t="str">
        <f>IF(Price_table[[#This Row],[Order pcs.]]="","",Price_table[[#This Row],[Price RRP / EUR]]-Price_table[[#This Row],[Price RRP / EUR]]*$C$20)</f>
        <v/>
      </c>
      <c r="F133" s="53" t="str">
        <f t="shared" si="2"/>
        <v/>
      </c>
      <c r="G133" s="53" t="str">
        <f t="shared" si="3"/>
        <v/>
      </c>
    </row>
    <row r="134" spans="1:7" ht="13.05" customHeight="1">
      <c r="A134" s="82">
        <v>30</v>
      </c>
      <c r="B134" s="78" t="s">
        <v>81</v>
      </c>
      <c r="C134" s="83">
        <v>14.5</v>
      </c>
      <c r="D134" s="55"/>
      <c r="E134" s="53" t="str">
        <f>IF(Price_table[[#This Row],[Order pcs.]]="","",Price_table[[#This Row],[Price RRP / EUR]]-Price_table[[#This Row],[Price RRP / EUR]]*$C$20)</f>
        <v/>
      </c>
      <c r="F134" s="53" t="str">
        <f t="shared" si="2"/>
        <v/>
      </c>
      <c r="G134" s="53" t="str">
        <f t="shared" si="3"/>
        <v/>
      </c>
    </row>
    <row r="135" spans="1:7" ht="13.05" customHeight="1">
      <c r="A135" s="82">
        <v>31</v>
      </c>
      <c r="B135" s="78" t="s">
        <v>82</v>
      </c>
      <c r="C135" s="83">
        <v>23.9</v>
      </c>
      <c r="D135" s="55"/>
      <c r="E135" s="53" t="str">
        <f>IF(Price_table[[#This Row],[Order pcs.]]="","",Price_table[[#This Row],[Price RRP / EUR]]-Price_table[[#This Row],[Price RRP / EUR]]*$C$20)</f>
        <v/>
      </c>
      <c r="F135" s="53" t="str">
        <f t="shared" si="2"/>
        <v/>
      </c>
      <c r="G135" s="53" t="str">
        <f t="shared" si="3"/>
        <v/>
      </c>
    </row>
    <row r="136" spans="1:7" ht="13.05" customHeight="1">
      <c r="A136" s="82">
        <v>32</v>
      </c>
      <c r="B136" s="78" t="s">
        <v>83</v>
      </c>
      <c r="C136" s="83">
        <v>9.9</v>
      </c>
      <c r="D136" s="55"/>
      <c r="E136" s="53" t="str">
        <f>IF(Price_table[[#This Row],[Order pcs.]]="","",Price_table[[#This Row],[Price RRP / EUR]]-Price_table[[#This Row],[Price RRP / EUR]]*$C$20)</f>
        <v/>
      </c>
      <c r="F136" s="53" t="str">
        <f t="shared" si="2"/>
        <v/>
      </c>
      <c r="G136" s="53" t="str">
        <f t="shared" si="3"/>
        <v/>
      </c>
    </row>
    <row r="137" spans="1:7" ht="13.05" customHeight="1">
      <c r="A137" s="82">
        <v>33</v>
      </c>
      <c r="B137" s="78" t="s">
        <v>84</v>
      </c>
      <c r="C137" s="83">
        <v>25.5</v>
      </c>
      <c r="D137" s="55"/>
      <c r="E137" s="53" t="str">
        <f>IF(Price_table[[#This Row],[Order pcs.]]="","",Price_table[[#This Row],[Price RRP / EUR]]-Price_table[[#This Row],[Price RRP / EUR]]*$C$20)</f>
        <v/>
      </c>
      <c r="F137" s="53" t="str">
        <f t="shared" si="2"/>
        <v/>
      </c>
      <c r="G137" s="53" t="str">
        <f t="shared" si="3"/>
        <v/>
      </c>
    </row>
    <row r="138" spans="1:7" ht="13.05" customHeight="1">
      <c r="A138" s="82">
        <v>34</v>
      </c>
      <c r="B138" s="78" t="s">
        <v>85</v>
      </c>
      <c r="C138" s="83">
        <v>16.899999999999999</v>
      </c>
      <c r="D138" s="55"/>
      <c r="E138" s="53" t="str">
        <f>IF(Price_table[[#This Row],[Order pcs.]]="","",Price_table[[#This Row],[Price RRP / EUR]]-Price_table[[#This Row],[Price RRP / EUR]]*$C$20)</f>
        <v/>
      </c>
      <c r="F138" s="53" t="str">
        <f t="shared" si="2"/>
        <v/>
      </c>
      <c r="G138" s="53" t="str">
        <f t="shared" si="3"/>
        <v/>
      </c>
    </row>
    <row r="139" spans="1:7" ht="13.05" customHeight="1">
      <c r="A139" s="82">
        <v>35</v>
      </c>
      <c r="B139" s="78" t="s">
        <v>86</v>
      </c>
      <c r="C139" s="83">
        <v>19.899999999999999</v>
      </c>
      <c r="D139" s="55"/>
      <c r="E139" s="53" t="str">
        <f>IF(Price_table[[#This Row],[Order pcs.]]="","",Price_table[[#This Row],[Price RRP / EUR]]-Price_table[[#This Row],[Price RRP / EUR]]*$C$20)</f>
        <v/>
      </c>
      <c r="F139" s="53" t="str">
        <f t="shared" si="2"/>
        <v/>
      </c>
      <c r="G139" s="53" t="str">
        <f t="shared" si="3"/>
        <v/>
      </c>
    </row>
    <row r="140" spans="1:7" ht="13.05" customHeight="1">
      <c r="A140" s="82">
        <v>36</v>
      </c>
      <c r="B140" s="78" t="s">
        <v>87</v>
      </c>
      <c r="C140" s="83">
        <v>39.5</v>
      </c>
      <c r="D140" s="55"/>
      <c r="E140" s="53" t="str">
        <f>IF(Price_table[[#This Row],[Order pcs.]]="","",Price_table[[#This Row],[Price RRP / EUR]]-Price_table[[#This Row],[Price RRP / EUR]]*$C$20)</f>
        <v/>
      </c>
      <c r="F140" s="53" t="str">
        <f t="shared" si="2"/>
        <v/>
      </c>
      <c r="G140" s="53" t="str">
        <f t="shared" si="3"/>
        <v/>
      </c>
    </row>
    <row r="141" spans="1:7" ht="13.05" customHeight="1">
      <c r="A141" s="82">
        <v>37</v>
      </c>
      <c r="B141" s="78" t="s">
        <v>88</v>
      </c>
      <c r="C141" s="83">
        <v>12.5</v>
      </c>
      <c r="D141" s="55"/>
      <c r="E141" s="53" t="str">
        <f>IF(Price_table[[#This Row],[Order pcs.]]="","",Price_table[[#This Row],[Price RRP / EUR]]-Price_table[[#This Row],[Price RRP / EUR]]*$C$20)</f>
        <v/>
      </c>
      <c r="F141" s="53" t="str">
        <f t="shared" si="2"/>
        <v/>
      </c>
      <c r="G141" s="53" t="str">
        <f t="shared" si="3"/>
        <v/>
      </c>
    </row>
    <row r="142" spans="1:7" ht="13.05" customHeight="1">
      <c r="A142" s="84">
        <v>38</v>
      </c>
      <c r="B142" s="78" t="s">
        <v>89</v>
      </c>
      <c r="C142" s="85">
        <v>10</v>
      </c>
      <c r="D142" s="57"/>
      <c r="E142" s="56" t="str">
        <f>IF(Price_table[[#This Row],[Order pcs.]]="","",Price_table[[#This Row],[Price RRP / EUR]]-Price_table[[#This Row],[Price RRP / EUR]]*$C$20)</f>
        <v/>
      </c>
      <c r="F142" s="56" t="str">
        <f t="shared" si="2"/>
        <v/>
      </c>
      <c r="G142" s="56" t="str">
        <f t="shared" si="3"/>
        <v/>
      </c>
    </row>
    <row r="143" spans="1:7" s="46" customFormat="1" ht="16.05" customHeight="1">
      <c r="A143" s="75"/>
      <c r="B143" s="94" t="s">
        <v>49</v>
      </c>
      <c r="C143" s="76"/>
      <c r="D143" s="92" t="s">
        <v>37</v>
      </c>
      <c r="E143" s="47"/>
      <c r="F143" s="47"/>
      <c r="G143" s="48"/>
    </row>
    <row r="144" spans="1:7" ht="13.05" customHeight="1">
      <c r="A144" s="77">
        <v>1</v>
      </c>
      <c r="B144" s="78" t="s">
        <v>52</v>
      </c>
      <c r="C144" s="79">
        <v>12.5</v>
      </c>
      <c r="D144" s="50"/>
      <c r="E144" s="49" t="str">
        <f>IF(Price_table[[#This Row],[Order pcs.]]="","",Price_table[[#This Row],[Price RRP / EUR]]-Price_table[[#This Row],[Price RRP / EUR]]*$C$20)</f>
        <v/>
      </c>
      <c r="F144" s="49" t="str">
        <f t="shared" si="2"/>
        <v/>
      </c>
      <c r="G144" s="49" t="str">
        <f t="shared" si="3"/>
        <v/>
      </c>
    </row>
    <row r="145" spans="1:7" ht="13.05" customHeight="1">
      <c r="A145" s="82">
        <v>2</v>
      </c>
      <c r="B145" s="78" t="s">
        <v>53</v>
      </c>
      <c r="C145" s="83">
        <v>8.9</v>
      </c>
      <c r="D145" s="55"/>
      <c r="E145" s="53" t="str">
        <f>IF(Price_table[[#This Row],[Order pcs.]]="","",Price_table[[#This Row],[Price RRP / EUR]]-Price_table[[#This Row],[Price RRP / EUR]]*$C$20)</f>
        <v/>
      </c>
      <c r="F145" s="53" t="str">
        <f t="shared" si="2"/>
        <v/>
      </c>
      <c r="G145" s="53" t="str">
        <f t="shared" si="3"/>
        <v/>
      </c>
    </row>
    <row r="146" spans="1:7" ht="13.05" customHeight="1">
      <c r="A146" s="82">
        <v>3</v>
      </c>
      <c r="B146" s="78" t="s">
        <v>54</v>
      </c>
      <c r="C146" s="83">
        <v>7.9</v>
      </c>
      <c r="D146" s="55"/>
      <c r="E146" s="53" t="str">
        <f>IF(Price_table[[#This Row],[Order pcs.]]="","",Price_table[[#This Row],[Price RRP / EUR]]-Price_table[[#This Row],[Price RRP / EUR]]*$C$20)</f>
        <v/>
      </c>
      <c r="F146" s="53" t="str">
        <f t="shared" si="2"/>
        <v/>
      </c>
      <c r="G146" s="53" t="str">
        <f t="shared" si="3"/>
        <v/>
      </c>
    </row>
    <row r="147" spans="1:7" ht="13.05" customHeight="1">
      <c r="A147" s="82">
        <v>4</v>
      </c>
      <c r="B147" s="78" t="s">
        <v>55</v>
      </c>
      <c r="C147" s="83">
        <v>9.9</v>
      </c>
      <c r="D147" s="55"/>
      <c r="E147" s="53" t="str">
        <f>IF(Price_table[[#This Row],[Order pcs.]]="","",Price_table[[#This Row],[Price RRP / EUR]]-Price_table[[#This Row],[Price RRP / EUR]]*$C$20)</f>
        <v/>
      </c>
      <c r="F147" s="53" t="str">
        <f t="shared" si="2"/>
        <v/>
      </c>
      <c r="G147" s="53" t="str">
        <f t="shared" si="3"/>
        <v/>
      </c>
    </row>
    <row r="148" spans="1:7" ht="13.05" customHeight="1">
      <c r="A148" s="82">
        <v>5</v>
      </c>
      <c r="B148" s="78" t="s">
        <v>56</v>
      </c>
      <c r="C148" s="83">
        <v>9.9</v>
      </c>
      <c r="D148" s="55"/>
      <c r="E148" s="53" t="str">
        <f>IF(Price_table[[#This Row],[Order pcs.]]="","",Price_table[[#This Row],[Price RRP / EUR]]-Price_table[[#This Row],[Price RRP / EUR]]*$C$20)</f>
        <v/>
      </c>
      <c r="F148" s="53" t="str">
        <f t="shared" si="2"/>
        <v/>
      </c>
      <c r="G148" s="53" t="str">
        <f t="shared" si="3"/>
        <v/>
      </c>
    </row>
    <row r="149" spans="1:7" ht="13.05" customHeight="1">
      <c r="A149" s="82">
        <v>6</v>
      </c>
      <c r="B149" s="78" t="s">
        <v>57</v>
      </c>
      <c r="C149" s="83">
        <v>9.5</v>
      </c>
      <c r="D149" s="55"/>
      <c r="E149" s="53" t="str">
        <f>IF(Price_table[[#This Row],[Order pcs.]]="","",Price_table[[#This Row],[Price RRP / EUR]]-Price_table[[#This Row],[Price RRP / EUR]]*$C$20)</f>
        <v/>
      </c>
      <c r="F149" s="53" t="str">
        <f t="shared" si="2"/>
        <v/>
      </c>
      <c r="G149" s="53" t="str">
        <f t="shared" si="3"/>
        <v/>
      </c>
    </row>
    <row r="150" spans="1:7" ht="13.05" customHeight="1">
      <c r="A150" s="82">
        <v>7</v>
      </c>
      <c r="B150" s="78" t="s">
        <v>58</v>
      </c>
      <c r="C150" s="83">
        <v>9.5</v>
      </c>
      <c r="D150" s="55"/>
      <c r="E150" s="53" t="str">
        <f>IF(Price_table[[#This Row],[Order pcs.]]="","",Price_table[[#This Row],[Price RRP / EUR]]-Price_table[[#This Row],[Price RRP / EUR]]*$C$20)</f>
        <v/>
      </c>
      <c r="F150" s="53" t="str">
        <f t="shared" si="2"/>
        <v/>
      </c>
      <c r="G150" s="53" t="str">
        <f t="shared" si="3"/>
        <v/>
      </c>
    </row>
    <row r="151" spans="1:7" ht="13.05" customHeight="1">
      <c r="A151" s="82">
        <v>8</v>
      </c>
      <c r="B151" s="78" t="s">
        <v>59</v>
      </c>
      <c r="C151" s="83">
        <v>11.9</v>
      </c>
      <c r="D151" s="55"/>
      <c r="E151" s="53" t="str">
        <f>IF(Price_table[[#This Row],[Order pcs.]]="","",Price_table[[#This Row],[Price RRP / EUR]]-Price_table[[#This Row],[Price RRP / EUR]]*$C$20)</f>
        <v/>
      </c>
      <c r="F151" s="53" t="str">
        <f t="shared" si="2"/>
        <v/>
      </c>
      <c r="G151" s="53" t="str">
        <f t="shared" si="3"/>
        <v/>
      </c>
    </row>
    <row r="152" spans="1:7" ht="13.05" customHeight="1">
      <c r="A152" s="84">
        <v>9</v>
      </c>
      <c r="B152" s="78" t="s">
        <v>60</v>
      </c>
      <c r="C152" s="85">
        <v>9.5</v>
      </c>
      <c r="D152" s="57"/>
      <c r="E152" s="56" t="str">
        <f>IF(Price_table[[#This Row],[Order pcs.]]="","",Price_table[[#This Row],[Price RRP / EUR]]-Price_table[[#This Row],[Price RRP / EUR]]*$C$20)</f>
        <v/>
      </c>
      <c r="F152" s="56" t="str">
        <f t="shared" si="2"/>
        <v/>
      </c>
      <c r="G152" s="56" t="str">
        <f t="shared" si="3"/>
        <v/>
      </c>
    </row>
    <row r="153" spans="1:7" s="46" customFormat="1" ht="16.05" customHeight="1">
      <c r="A153" s="75"/>
      <c r="B153" s="94" t="s">
        <v>50</v>
      </c>
      <c r="C153" s="76"/>
      <c r="D153" s="92" t="s">
        <v>37</v>
      </c>
      <c r="E153" s="47"/>
      <c r="F153" s="47"/>
      <c r="G153" s="48"/>
    </row>
    <row r="154" spans="1:7" ht="13.05" customHeight="1">
      <c r="A154" s="77">
        <v>1</v>
      </c>
      <c r="B154" s="78" t="s">
        <v>52</v>
      </c>
      <c r="C154" s="79">
        <v>12</v>
      </c>
      <c r="D154" s="50"/>
      <c r="E154" s="49" t="str">
        <f>IF(Price_table[[#This Row],[Order pcs.]]="","",Price_table[[#This Row],[Price RRP / EUR]]-Price_table[[#This Row],[Price RRP / EUR]]*$C$20)</f>
        <v/>
      </c>
      <c r="F154" s="49" t="str">
        <f t="shared" ref="F154:F175" si="4">IF(D154="","",C154*D154)</f>
        <v/>
      </c>
      <c r="G154" s="49" t="str">
        <f t="shared" ref="G154:G175" si="5">IF(D154="","",F154-F154*$C$20)</f>
        <v/>
      </c>
    </row>
    <row r="155" spans="1:7" ht="13.05" customHeight="1">
      <c r="A155" s="82">
        <v>2</v>
      </c>
      <c r="B155" s="78" t="s">
        <v>53</v>
      </c>
      <c r="C155" s="83">
        <v>5.5</v>
      </c>
      <c r="D155" s="55"/>
      <c r="E155" s="53" t="str">
        <f>IF(Price_table[[#This Row],[Order pcs.]]="","",Price_table[[#This Row],[Price RRP / EUR]]-Price_table[[#This Row],[Price RRP / EUR]]*$C$20)</f>
        <v/>
      </c>
      <c r="F155" s="53" t="str">
        <f t="shared" si="4"/>
        <v/>
      </c>
      <c r="G155" s="53" t="str">
        <f t="shared" si="5"/>
        <v/>
      </c>
    </row>
    <row r="156" spans="1:7" ht="13.05" customHeight="1">
      <c r="A156" s="82">
        <v>3</v>
      </c>
      <c r="B156" s="78" t="s">
        <v>54</v>
      </c>
      <c r="C156" s="83">
        <v>10.5</v>
      </c>
      <c r="D156" s="55"/>
      <c r="E156" s="53" t="str">
        <f>IF(Price_table[[#This Row],[Order pcs.]]="","",Price_table[[#This Row],[Price RRP / EUR]]-Price_table[[#This Row],[Price RRP / EUR]]*$C$20)</f>
        <v/>
      </c>
      <c r="F156" s="53" t="str">
        <f t="shared" si="4"/>
        <v/>
      </c>
      <c r="G156" s="53" t="str">
        <f t="shared" si="5"/>
        <v/>
      </c>
    </row>
    <row r="157" spans="1:7" ht="13.05" customHeight="1">
      <c r="A157" s="82">
        <v>4</v>
      </c>
      <c r="B157" s="78" t="s">
        <v>55</v>
      </c>
      <c r="C157" s="83">
        <v>5.9</v>
      </c>
      <c r="D157" s="55"/>
      <c r="E157" s="53" t="str">
        <f>IF(Price_table[[#This Row],[Order pcs.]]="","",Price_table[[#This Row],[Price RRP / EUR]]-Price_table[[#This Row],[Price RRP / EUR]]*$C$20)</f>
        <v/>
      </c>
      <c r="F157" s="53" t="str">
        <f t="shared" si="4"/>
        <v/>
      </c>
      <c r="G157" s="53" t="str">
        <f t="shared" si="5"/>
        <v/>
      </c>
    </row>
    <row r="158" spans="1:7" ht="13.05" customHeight="1">
      <c r="A158" s="82">
        <v>5</v>
      </c>
      <c r="B158" s="78" t="s">
        <v>56</v>
      </c>
      <c r="C158" s="83">
        <v>11.9</v>
      </c>
      <c r="D158" s="55"/>
      <c r="E158" s="53" t="str">
        <f>IF(Price_table[[#This Row],[Order pcs.]]="","",Price_table[[#This Row],[Price RRP / EUR]]-Price_table[[#This Row],[Price RRP / EUR]]*$C$20)</f>
        <v/>
      </c>
      <c r="F158" s="53" t="str">
        <f t="shared" si="4"/>
        <v/>
      </c>
      <c r="G158" s="53" t="str">
        <f t="shared" si="5"/>
        <v/>
      </c>
    </row>
    <row r="159" spans="1:7" ht="13.05" customHeight="1">
      <c r="A159" s="82">
        <v>6</v>
      </c>
      <c r="B159" s="78" t="s">
        <v>57</v>
      </c>
      <c r="C159" s="83">
        <v>6</v>
      </c>
      <c r="D159" s="55"/>
      <c r="E159" s="53" t="str">
        <f>IF(Price_table[[#This Row],[Order pcs.]]="","",Price_table[[#This Row],[Price RRP / EUR]]-Price_table[[#This Row],[Price RRP / EUR]]*$C$20)</f>
        <v/>
      </c>
      <c r="F159" s="53" t="str">
        <f t="shared" si="4"/>
        <v/>
      </c>
      <c r="G159" s="53" t="str">
        <f t="shared" si="5"/>
        <v/>
      </c>
    </row>
    <row r="160" spans="1:7" ht="13.05" customHeight="1">
      <c r="A160" s="82">
        <v>7</v>
      </c>
      <c r="B160" s="78" t="s">
        <v>58</v>
      </c>
      <c r="C160" s="83">
        <v>11.5</v>
      </c>
      <c r="D160" s="55"/>
      <c r="E160" s="53" t="str">
        <f>IF(Price_table[[#This Row],[Order pcs.]]="","",Price_table[[#This Row],[Price RRP / EUR]]-Price_table[[#This Row],[Price RRP / EUR]]*$C$20)</f>
        <v/>
      </c>
      <c r="F160" s="53" t="str">
        <f t="shared" si="4"/>
        <v/>
      </c>
      <c r="G160" s="53" t="str">
        <f t="shared" si="5"/>
        <v/>
      </c>
    </row>
    <row r="161" spans="1:7" ht="13.05" customHeight="1">
      <c r="A161" s="82">
        <v>8</v>
      </c>
      <c r="B161" s="78" t="s">
        <v>59</v>
      </c>
      <c r="C161" s="83">
        <v>9</v>
      </c>
      <c r="D161" s="55"/>
      <c r="E161" s="53" t="str">
        <f>IF(Price_table[[#This Row],[Order pcs.]]="","",Price_table[[#This Row],[Price RRP / EUR]]-Price_table[[#This Row],[Price RRP / EUR]]*$C$20)</f>
        <v/>
      </c>
      <c r="F161" s="53" t="str">
        <f t="shared" si="4"/>
        <v/>
      </c>
      <c r="G161" s="53" t="str">
        <f t="shared" si="5"/>
        <v/>
      </c>
    </row>
    <row r="162" spans="1:7" ht="13.05" customHeight="1">
      <c r="A162" s="82">
        <v>9</v>
      </c>
      <c r="B162" s="78" t="s">
        <v>60</v>
      </c>
      <c r="C162" s="83">
        <v>6.5</v>
      </c>
      <c r="D162" s="55"/>
      <c r="E162" s="53" t="str">
        <f>IF(Price_table[[#This Row],[Order pcs.]]="","",Price_table[[#This Row],[Price RRP / EUR]]-Price_table[[#This Row],[Price RRP / EUR]]*$C$20)</f>
        <v/>
      </c>
      <c r="F162" s="53" t="str">
        <f t="shared" si="4"/>
        <v/>
      </c>
      <c r="G162" s="53" t="str">
        <f t="shared" si="5"/>
        <v/>
      </c>
    </row>
    <row r="163" spans="1:7" ht="13.05" customHeight="1">
      <c r="A163" s="82">
        <v>10</v>
      </c>
      <c r="B163" s="78" t="s">
        <v>61</v>
      </c>
      <c r="C163" s="83">
        <v>9.5</v>
      </c>
      <c r="D163" s="55"/>
      <c r="E163" s="53" t="str">
        <f>IF(Price_table[[#This Row],[Order pcs.]]="","",Price_table[[#This Row],[Price RRP / EUR]]-Price_table[[#This Row],[Price RRP / EUR]]*$C$20)</f>
        <v/>
      </c>
      <c r="F163" s="53" t="str">
        <f t="shared" si="4"/>
        <v/>
      </c>
      <c r="G163" s="53" t="str">
        <f t="shared" si="5"/>
        <v/>
      </c>
    </row>
    <row r="164" spans="1:7" ht="13.05" customHeight="1">
      <c r="A164" s="82">
        <v>11</v>
      </c>
      <c r="B164" s="78" t="s">
        <v>62</v>
      </c>
      <c r="C164" s="83">
        <v>12</v>
      </c>
      <c r="D164" s="55"/>
      <c r="E164" s="53" t="str">
        <f>IF(Price_table[[#This Row],[Order pcs.]]="","",Price_table[[#This Row],[Price RRP / EUR]]-Price_table[[#This Row],[Price RRP / EUR]]*$C$20)</f>
        <v/>
      </c>
      <c r="F164" s="53" t="str">
        <f t="shared" si="4"/>
        <v/>
      </c>
      <c r="G164" s="53" t="str">
        <f t="shared" si="5"/>
        <v/>
      </c>
    </row>
    <row r="165" spans="1:7" ht="13.05" customHeight="1">
      <c r="A165" s="82">
        <v>12</v>
      </c>
      <c r="B165" s="78" t="s">
        <v>63</v>
      </c>
      <c r="C165" s="83">
        <v>11.9</v>
      </c>
      <c r="D165" s="55"/>
      <c r="E165" s="53" t="str">
        <f>IF(Price_table[[#This Row],[Order pcs.]]="","",Price_table[[#This Row],[Price RRP / EUR]]-Price_table[[#This Row],[Price RRP / EUR]]*$C$20)</f>
        <v/>
      </c>
      <c r="F165" s="53" t="str">
        <f t="shared" si="4"/>
        <v/>
      </c>
      <c r="G165" s="53" t="str">
        <f t="shared" si="5"/>
        <v/>
      </c>
    </row>
    <row r="166" spans="1:7" ht="13.05" customHeight="1">
      <c r="A166" s="82">
        <v>13</v>
      </c>
      <c r="B166" s="78" t="s">
        <v>64</v>
      </c>
      <c r="C166" s="83">
        <v>12.5</v>
      </c>
      <c r="D166" s="55"/>
      <c r="E166" s="53" t="str">
        <f>IF(Price_table[[#This Row],[Order pcs.]]="","",Price_table[[#This Row],[Price RRP / EUR]]-Price_table[[#This Row],[Price RRP / EUR]]*$C$20)</f>
        <v/>
      </c>
      <c r="F166" s="53" t="str">
        <f t="shared" si="4"/>
        <v/>
      </c>
      <c r="G166" s="53" t="str">
        <f t="shared" si="5"/>
        <v/>
      </c>
    </row>
    <row r="167" spans="1:7" ht="13.05" customHeight="1">
      <c r="A167" s="84">
        <v>14</v>
      </c>
      <c r="B167" s="78" t="s">
        <v>65</v>
      </c>
      <c r="C167" s="85">
        <v>13.5</v>
      </c>
      <c r="D167" s="57"/>
      <c r="E167" s="56" t="str">
        <f>IF(Price_table[[#This Row],[Order pcs.]]="","",Price_table[[#This Row],[Price RRP / EUR]]-Price_table[[#This Row],[Price RRP / EUR]]*$C$20)</f>
        <v/>
      </c>
      <c r="F167" s="56" t="str">
        <f t="shared" si="4"/>
        <v/>
      </c>
      <c r="G167" s="56" t="str">
        <f t="shared" si="5"/>
        <v/>
      </c>
    </row>
    <row r="168" spans="1:7" s="46" customFormat="1" ht="16.05" customHeight="1">
      <c r="A168" s="75"/>
      <c r="B168" s="94" t="s">
        <v>51</v>
      </c>
      <c r="C168" s="76"/>
      <c r="D168" s="92" t="s">
        <v>37</v>
      </c>
      <c r="E168" s="47"/>
      <c r="F168" s="47"/>
      <c r="G168" s="48"/>
    </row>
    <row r="169" spans="1:7" ht="13.05" customHeight="1">
      <c r="A169" s="77">
        <v>1</v>
      </c>
      <c r="B169" s="78" t="s">
        <v>52</v>
      </c>
      <c r="C169" s="79">
        <v>102.9</v>
      </c>
      <c r="D169" s="50"/>
      <c r="E169" s="49" t="str">
        <f>IF(Price_table[[#This Row],[Order pcs.]]="","",Price_table[[#This Row],[Price RRP / EUR]]-Price_table[[#This Row],[Price RRP / EUR]]*$C$20)</f>
        <v/>
      </c>
      <c r="F169" s="49" t="str">
        <f t="shared" si="4"/>
        <v/>
      </c>
      <c r="G169" s="49" t="str">
        <f t="shared" si="5"/>
        <v/>
      </c>
    </row>
    <row r="170" spans="1:7" ht="13.05" customHeight="1">
      <c r="A170" s="82">
        <v>2</v>
      </c>
      <c r="B170" s="78" t="s">
        <v>53</v>
      </c>
      <c r="C170" s="83">
        <v>102.5</v>
      </c>
      <c r="D170" s="55"/>
      <c r="E170" s="53" t="str">
        <f>IF(Price_table[[#This Row],[Order pcs.]]="","",Price_table[[#This Row],[Price RRP / EUR]]-Price_table[[#This Row],[Price RRP / EUR]]*$C$20)</f>
        <v/>
      </c>
      <c r="F170" s="53" t="str">
        <f t="shared" si="4"/>
        <v/>
      </c>
      <c r="G170" s="53" t="str">
        <f t="shared" si="5"/>
        <v/>
      </c>
    </row>
    <row r="171" spans="1:7" ht="13.05" customHeight="1">
      <c r="A171" s="82">
        <v>3</v>
      </c>
      <c r="B171" s="78" t="s">
        <v>54</v>
      </c>
      <c r="C171" s="83">
        <v>241.55</v>
      </c>
      <c r="D171" s="55"/>
      <c r="E171" s="53" t="str">
        <f>IF(Price_table[[#This Row],[Order pcs.]]="","",Price_table[[#This Row],[Price RRP / EUR]]-Price_table[[#This Row],[Price RRP / EUR]]*$C$20)</f>
        <v/>
      </c>
      <c r="F171" s="53" t="str">
        <f t="shared" si="4"/>
        <v/>
      </c>
      <c r="G171" s="53" t="str">
        <f t="shared" si="5"/>
        <v/>
      </c>
    </row>
    <row r="172" spans="1:7" ht="13.05" customHeight="1">
      <c r="A172" s="82">
        <v>4</v>
      </c>
      <c r="B172" s="78" t="s">
        <v>55</v>
      </c>
      <c r="C172" s="83">
        <v>195.5</v>
      </c>
      <c r="D172" s="55"/>
      <c r="E172" s="53" t="str">
        <f>IF(Price_table[[#This Row],[Order pcs.]]="","",Price_table[[#This Row],[Price RRP / EUR]]-Price_table[[#This Row],[Price RRP / EUR]]*$C$20)</f>
        <v/>
      </c>
      <c r="F172" s="53" t="str">
        <f t="shared" si="4"/>
        <v/>
      </c>
      <c r="G172" s="53" t="str">
        <f t="shared" si="5"/>
        <v/>
      </c>
    </row>
    <row r="173" spans="1:7" ht="13.05" customHeight="1">
      <c r="A173" s="82">
        <v>5</v>
      </c>
      <c r="B173" s="78" t="s">
        <v>56</v>
      </c>
      <c r="C173" s="83">
        <v>236.9</v>
      </c>
      <c r="D173" s="55"/>
      <c r="E173" s="53" t="str">
        <f>IF(Price_table[[#This Row],[Order pcs.]]="","",Price_table[[#This Row],[Price RRP / EUR]]-Price_table[[#This Row],[Price RRP / EUR]]*$C$20)</f>
        <v/>
      </c>
      <c r="F173" s="53" t="str">
        <f t="shared" si="4"/>
        <v/>
      </c>
      <c r="G173" s="53" t="str">
        <f t="shared" si="5"/>
        <v/>
      </c>
    </row>
    <row r="174" spans="1:7" ht="13.05" customHeight="1">
      <c r="A174" s="82">
        <v>6</v>
      </c>
      <c r="B174" s="78" t="s">
        <v>57</v>
      </c>
      <c r="C174" s="83">
        <v>218.5</v>
      </c>
      <c r="D174" s="55"/>
      <c r="E174" s="53" t="str">
        <f>IF(Price_table[[#This Row],[Order pcs.]]="","",Price_table[[#This Row],[Price RRP / EUR]]-Price_table[[#This Row],[Price RRP / EUR]]*$C$20)</f>
        <v/>
      </c>
      <c r="F174" s="53" t="str">
        <f t="shared" si="4"/>
        <v/>
      </c>
      <c r="G174" s="53" t="str">
        <f t="shared" si="5"/>
        <v/>
      </c>
    </row>
    <row r="175" spans="1:7" ht="13.05" customHeight="1">
      <c r="A175" s="82">
        <v>7</v>
      </c>
      <c r="B175" s="78" t="s">
        <v>58</v>
      </c>
      <c r="C175" s="83">
        <v>227.9</v>
      </c>
      <c r="D175" s="55"/>
      <c r="E175" s="53" t="str">
        <f>IF(Price_table[[#This Row],[Order pcs.]]="","",Price_table[[#This Row],[Price RRP / EUR]]-Price_table[[#This Row],[Price RRP / EUR]]*$C$20)</f>
        <v/>
      </c>
      <c r="F175" s="53" t="str">
        <f t="shared" si="4"/>
        <v/>
      </c>
      <c r="G175" s="53" t="str">
        <f t="shared" si="5"/>
        <v/>
      </c>
    </row>
    <row r="176" spans="1:7" ht="13.05" customHeight="1">
      <c r="A176" s="88"/>
      <c r="B176" s="89"/>
      <c r="C176" s="90"/>
    </row>
    <row r="177" spans="1:3" ht="13.05" customHeight="1">
      <c r="A177" s="88"/>
      <c r="B177" s="89"/>
      <c r="C177" s="90"/>
    </row>
    <row r="178" spans="1:3" ht="13.05" customHeight="1">
      <c r="A178" s="88"/>
      <c r="B178" s="89"/>
      <c r="C178" s="90"/>
    </row>
    <row r="179" spans="1:3" ht="13.05" customHeight="1">
      <c r="A179" s="88"/>
      <c r="B179" s="89"/>
      <c r="C179" s="90"/>
    </row>
    <row r="180" spans="1:3" ht="13.05" customHeight="1">
      <c r="A180" s="88"/>
      <c r="B180" s="89"/>
      <c r="C180" s="90"/>
    </row>
    <row r="181" spans="1:3" ht="13.05" customHeight="1">
      <c r="A181" s="88"/>
      <c r="B181" s="89"/>
      <c r="C181" s="90"/>
    </row>
    <row r="182" spans="1:3" ht="13.05" customHeight="1">
      <c r="A182" s="88"/>
      <c r="B182" s="89"/>
      <c r="C182" s="90"/>
    </row>
    <row r="183" spans="1:3" ht="13.05" customHeight="1">
      <c r="A183" s="88"/>
      <c r="B183" s="89"/>
      <c r="C183" s="90"/>
    </row>
    <row r="184" spans="1:3" ht="13.05" customHeight="1">
      <c r="A184" s="88"/>
      <c r="B184" s="89"/>
      <c r="C184" s="90"/>
    </row>
    <row r="185" spans="1:3" ht="13.05" customHeight="1">
      <c r="A185" s="88"/>
      <c r="B185" s="89"/>
      <c r="C185" s="90"/>
    </row>
    <row r="186" spans="1:3" ht="13.05" customHeight="1">
      <c r="A186" s="88"/>
      <c r="B186" s="89"/>
      <c r="C186" s="90"/>
    </row>
    <row r="187" spans="1:3" ht="13.05" customHeight="1">
      <c r="A187" s="88"/>
      <c r="B187" s="89"/>
      <c r="C187" s="90"/>
    </row>
    <row r="188" spans="1:3" ht="13.05" customHeight="1">
      <c r="A188" s="88"/>
      <c r="B188" s="89"/>
      <c r="C188" s="90"/>
    </row>
    <row r="189" spans="1:3" ht="13.05" customHeight="1">
      <c r="A189" s="88"/>
      <c r="B189" s="89"/>
      <c r="C189" s="90"/>
    </row>
    <row r="190" spans="1:3" ht="13.05" customHeight="1">
      <c r="A190" s="88"/>
      <c r="B190" s="89"/>
      <c r="C190" s="90"/>
    </row>
    <row r="191" spans="1:3" ht="13.05" customHeight="1">
      <c r="A191" s="88"/>
      <c r="B191" s="89"/>
      <c r="C191" s="90"/>
    </row>
    <row r="192" spans="1:3" ht="13.05" customHeight="1">
      <c r="A192" s="88"/>
      <c r="B192" s="89"/>
      <c r="C192" s="90"/>
    </row>
    <row r="193" spans="1:3" ht="13.05" customHeight="1">
      <c r="A193" s="88"/>
      <c r="B193" s="89"/>
      <c r="C193" s="90"/>
    </row>
    <row r="194" spans="1:3" ht="13.05" customHeight="1">
      <c r="A194" s="88"/>
      <c r="B194" s="89"/>
      <c r="C194" s="90"/>
    </row>
    <row r="195" spans="1:3" ht="13.05" customHeight="1">
      <c r="A195" s="88"/>
      <c r="B195" s="89"/>
      <c r="C195" s="90"/>
    </row>
    <row r="196" spans="1:3" ht="13.05" customHeight="1">
      <c r="A196" s="88"/>
      <c r="B196" s="89"/>
      <c r="C196" s="90"/>
    </row>
    <row r="197" spans="1:3" ht="13.05" customHeight="1">
      <c r="A197" s="88"/>
      <c r="B197" s="89"/>
      <c r="C197" s="90"/>
    </row>
    <row r="198" spans="1:3" ht="13.05" customHeight="1">
      <c r="A198" s="88"/>
      <c r="B198" s="89"/>
      <c r="C198" s="90"/>
    </row>
    <row r="199" spans="1:3" ht="13.05" customHeight="1">
      <c r="A199" s="88"/>
      <c r="B199" s="89"/>
      <c r="C199" s="90"/>
    </row>
    <row r="200" spans="1:3" ht="13.05" customHeight="1">
      <c r="A200" s="88"/>
      <c r="B200" s="89"/>
      <c r="C200" s="90"/>
    </row>
    <row r="201" spans="1:3" ht="13.05" customHeight="1">
      <c r="A201" s="88"/>
      <c r="B201" s="89"/>
      <c r="C201" s="90"/>
    </row>
    <row r="202" spans="1:3" ht="13.05" customHeight="1">
      <c r="A202" s="88"/>
      <c r="B202" s="89"/>
      <c r="C202" s="90"/>
    </row>
    <row r="203" spans="1:3" ht="13.05" customHeight="1">
      <c r="A203" s="88"/>
      <c r="B203" s="89"/>
      <c r="C203" s="90"/>
    </row>
    <row r="204" spans="1:3" ht="13.05" customHeight="1">
      <c r="A204" s="88"/>
      <c r="B204" s="89"/>
      <c r="C204" s="90"/>
    </row>
    <row r="205" spans="1:3" ht="13.05" customHeight="1">
      <c r="A205" s="88"/>
      <c r="B205" s="89"/>
      <c r="C205" s="90"/>
    </row>
    <row r="206" spans="1:3" ht="13.05" customHeight="1">
      <c r="A206" s="88"/>
      <c r="B206" s="89"/>
      <c r="C206" s="90"/>
    </row>
    <row r="207" spans="1:3" ht="13.05" customHeight="1">
      <c r="A207" s="88"/>
      <c r="B207" s="89"/>
      <c r="C207" s="90"/>
    </row>
    <row r="208" spans="1:3" ht="13.05" customHeight="1">
      <c r="A208" s="88"/>
      <c r="B208" s="89"/>
      <c r="C208" s="90"/>
    </row>
    <row r="209" spans="1:3" ht="13.05" customHeight="1">
      <c r="A209" s="88"/>
      <c r="B209" s="89"/>
      <c r="C209" s="90"/>
    </row>
    <row r="210" spans="1:3" ht="13.05" customHeight="1">
      <c r="A210" s="88"/>
      <c r="B210" s="89"/>
      <c r="C210" s="90"/>
    </row>
    <row r="211" spans="1:3" ht="13.05" customHeight="1">
      <c r="A211" s="88"/>
      <c r="B211" s="89"/>
      <c r="C211" s="90"/>
    </row>
    <row r="212" spans="1:3" ht="13.05" customHeight="1">
      <c r="A212" s="88"/>
      <c r="B212" s="89"/>
      <c r="C212" s="90"/>
    </row>
    <row r="213" spans="1:3" ht="13.05" customHeight="1">
      <c r="A213" s="88"/>
      <c r="B213" s="89"/>
      <c r="C213" s="90"/>
    </row>
    <row r="214" spans="1:3" ht="13.05" customHeight="1">
      <c r="A214" s="88"/>
      <c r="B214" s="89"/>
      <c r="C214" s="90"/>
    </row>
    <row r="215" spans="1:3" ht="13.05" customHeight="1">
      <c r="A215" s="88"/>
      <c r="B215" s="89"/>
      <c r="C215" s="90"/>
    </row>
    <row r="216" spans="1:3" ht="13.05" customHeight="1">
      <c r="A216" s="88"/>
      <c r="B216" s="89"/>
      <c r="C216" s="90"/>
    </row>
    <row r="217" spans="1:3" ht="13.05" customHeight="1">
      <c r="A217" s="88"/>
      <c r="B217" s="89"/>
      <c r="C217" s="90"/>
    </row>
    <row r="218" spans="1:3" ht="13.05" customHeight="1">
      <c r="A218" s="88"/>
      <c r="B218" s="89"/>
      <c r="C218" s="90"/>
    </row>
    <row r="219" spans="1:3" ht="13.05" customHeight="1">
      <c r="A219" s="88"/>
      <c r="B219" s="89"/>
      <c r="C219" s="90"/>
    </row>
    <row r="220" spans="1:3" ht="13.05" customHeight="1">
      <c r="A220" s="88"/>
      <c r="B220" s="89"/>
      <c r="C220" s="90"/>
    </row>
    <row r="221" spans="1:3" ht="13.05" customHeight="1">
      <c r="A221" s="88"/>
      <c r="B221" s="89"/>
      <c r="C221" s="90"/>
    </row>
    <row r="222" spans="1:3" ht="13.05" customHeight="1">
      <c r="A222" s="88"/>
      <c r="B222" s="89"/>
      <c r="C222" s="90"/>
    </row>
    <row r="223" spans="1:3" ht="13.05" customHeight="1">
      <c r="A223" s="88"/>
      <c r="B223" s="89"/>
      <c r="C223" s="90"/>
    </row>
    <row r="224" spans="1:3" ht="13.05" customHeight="1">
      <c r="A224" s="88"/>
      <c r="B224" s="89"/>
      <c r="C224" s="90"/>
    </row>
    <row r="225" spans="1:3" ht="13.05" customHeight="1">
      <c r="A225" s="88"/>
      <c r="B225" s="89"/>
      <c r="C225" s="90"/>
    </row>
    <row r="226" spans="1:3" ht="13.05" customHeight="1">
      <c r="A226" s="88"/>
      <c r="B226" s="89"/>
      <c r="C226" s="90"/>
    </row>
    <row r="227" spans="1:3" ht="13.05" customHeight="1">
      <c r="A227" s="88"/>
      <c r="B227" s="89"/>
      <c r="C227" s="90"/>
    </row>
    <row r="228" spans="1:3" ht="13.05" customHeight="1">
      <c r="A228" s="88"/>
      <c r="B228" s="89"/>
      <c r="C228" s="90"/>
    </row>
    <row r="229" spans="1:3" ht="13.05" customHeight="1">
      <c r="A229" s="88"/>
      <c r="B229" s="89"/>
      <c r="C229" s="90"/>
    </row>
    <row r="230" spans="1:3" ht="13.05" customHeight="1">
      <c r="A230" s="88"/>
      <c r="B230" s="89"/>
      <c r="C230" s="90"/>
    </row>
    <row r="231" spans="1:3" ht="13.05" customHeight="1">
      <c r="A231" s="88"/>
      <c r="B231" s="89"/>
      <c r="C231" s="90"/>
    </row>
    <row r="232" spans="1:3" ht="13.05" customHeight="1">
      <c r="A232" s="88"/>
      <c r="B232" s="89"/>
      <c r="C232" s="90"/>
    </row>
    <row r="233" spans="1:3" ht="13.05" customHeight="1">
      <c r="A233" s="88"/>
      <c r="B233" s="89"/>
      <c r="C233" s="90"/>
    </row>
    <row r="234" spans="1:3" ht="13.05" customHeight="1">
      <c r="A234" s="88"/>
      <c r="B234" s="89"/>
      <c r="C234" s="90"/>
    </row>
    <row r="235" spans="1:3" ht="13.05" customHeight="1">
      <c r="A235" s="88"/>
      <c r="B235" s="89"/>
      <c r="C235" s="90"/>
    </row>
    <row r="236" spans="1:3" ht="13.05" customHeight="1">
      <c r="A236" s="88"/>
      <c r="B236" s="89"/>
      <c r="C236" s="90"/>
    </row>
    <row r="237" spans="1:3" ht="13.05" customHeight="1">
      <c r="A237" s="88"/>
      <c r="B237" s="89"/>
      <c r="C237" s="90"/>
    </row>
    <row r="238" spans="1:3" ht="13.05" customHeight="1">
      <c r="A238" s="88"/>
      <c r="B238" s="89"/>
      <c r="C238" s="90"/>
    </row>
    <row r="239" spans="1:3" ht="13.05" customHeight="1">
      <c r="A239" s="88"/>
      <c r="B239" s="89"/>
      <c r="C239" s="90"/>
    </row>
    <row r="240" spans="1:3" ht="13.05" customHeight="1">
      <c r="A240" s="88"/>
      <c r="B240" s="89"/>
      <c r="C240" s="90"/>
    </row>
    <row r="241" spans="1:3" ht="13.05" customHeight="1">
      <c r="A241" s="88"/>
      <c r="B241" s="89"/>
      <c r="C241" s="90"/>
    </row>
    <row r="242" spans="1:3" ht="13.05" customHeight="1">
      <c r="A242" s="88"/>
      <c r="B242" s="89"/>
      <c r="C242" s="90"/>
    </row>
    <row r="243" spans="1:3" ht="13.05" customHeight="1">
      <c r="A243" s="88"/>
      <c r="B243" s="89"/>
      <c r="C243" s="90"/>
    </row>
    <row r="244" spans="1:3" ht="13.05" customHeight="1">
      <c r="A244" s="88"/>
      <c r="B244" s="89"/>
      <c r="C244" s="90"/>
    </row>
    <row r="245" spans="1:3" ht="13.05" customHeight="1">
      <c r="A245" s="88"/>
      <c r="B245" s="89"/>
      <c r="C245" s="90"/>
    </row>
    <row r="246" spans="1:3" ht="13.05" customHeight="1">
      <c r="A246" s="88"/>
      <c r="B246" s="89"/>
      <c r="C246" s="90"/>
    </row>
    <row r="247" spans="1:3" ht="13.05" customHeight="1">
      <c r="A247" s="88"/>
      <c r="B247" s="89"/>
      <c r="C247" s="90"/>
    </row>
    <row r="248" spans="1:3" ht="13.05" customHeight="1">
      <c r="A248" s="88"/>
      <c r="B248" s="89"/>
      <c r="C248" s="90"/>
    </row>
    <row r="249" spans="1:3" ht="13.05" customHeight="1">
      <c r="A249" s="88"/>
      <c r="B249" s="89"/>
      <c r="C249" s="90"/>
    </row>
    <row r="250" spans="1:3" ht="13.05" customHeight="1">
      <c r="A250" s="88"/>
      <c r="B250" s="89"/>
      <c r="C250" s="90"/>
    </row>
    <row r="251" spans="1:3" ht="13.05" customHeight="1">
      <c r="A251" s="88"/>
      <c r="B251" s="89"/>
      <c r="C251" s="90"/>
    </row>
    <row r="252" spans="1:3" ht="13.05" customHeight="1">
      <c r="A252" s="88"/>
      <c r="B252" s="89"/>
      <c r="C252" s="90"/>
    </row>
    <row r="253" spans="1:3" ht="13.05" customHeight="1">
      <c r="A253" s="88"/>
      <c r="B253" s="89"/>
      <c r="C253" s="90"/>
    </row>
    <row r="254" spans="1:3" ht="13.05" customHeight="1">
      <c r="A254" s="88"/>
      <c r="B254" s="89"/>
      <c r="C254" s="90"/>
    </row>
    <row r="255" spans="1:3" ht="13.05" customHeight="1">
      <c r="A255" s="88"/>
      <c r="B255" s="89"/>
      <c r="C255" s="90"/>
    </row>
    <row r="256" spans="1:3" ht="13.05" customHeight="1">
      <c r="A256" s="88"/>
      <c r="B256" s="89"/>
      <c r="C256" s="90"/>
    </row>
    <row r="257" spans="1:3" ht="13.05" customHeight="1">
      <c r="A257" s="88"/>
      <c r="B257" s="89"/>
      <c r="C257" s="90"/>
    </row>
    <row r="258" spans="1:3" ht="13.05" customHeight="1">
      <c r="A258" s="88"/>
      <c r="B258" s="89"/>
      <c r="C258" s="90"/>
    </row>
    <row r="259" spans="1:3" ht="13.05" customHeight="1">
      <c r="A259" s="88"/>
      <c r="B259" s="89"/>
      <c r="C259" s="90"/>
    </row>
    <row r="260" spans="1:3" ht="13.05" customHeight="1">
      <c r="A260" s="88"/>
      <c r="B260" s="89"/>
      <c r="C260" s="90"/>
    </row>
    <row r="261" spans="1:3" ht="13.05" customHeight="1">
      <c r="A261" s="88"/>
      <c r="B261" s="89"/>
      <c r="C261" s="90"/>
    </row>
    <row r="262" spans="1:3" ht="13.05" customHeight="1">
      <c r="A262" s="88"/>
      <c r="B262" s="89"/>
      <c r="C262" s="90"/>
    </row>
    <row r="263" spans="1:3" ht="13.05" customHeight="1">
      <c r="A263" s="88"/>
      <c r="B263" s="89"/>
      <c r="C263" s="90"/>
    </row>
    <row r="264" spans="1:3" ht="13.05" customHeight="1">
      <c r="A264" s="88"/>
      <c r="B264" s="89"/>
      <c r="C264" s="90"/>
    </row>
    <row r="265" spans="1:3" ht="13.05" customHeight="1">
      <c r="A265" s="88"/>
      <c r="B265" s="89"/>
      <c r="C265" s="90"/>
    </row>
    <row r="266" spans="1:3" ht="13.05" customHeight="1">
      <c r="A266" s="88"/>
      <c r="B266" s="89"/>
      <c r="C266" s="90"/>
    </row>
    <row r="267" spans="1:3" ht="13.05" customHeight="1">
      <c r="A267" s="88"/>
      <c r="B267" s="89"/>
      <c r="C267" s="90"/>
    </row>
    <row r="268" spans="1:3" ht="13.05" customHeight="1">
      <c r="A268" s="88"/>
      <c r="B268" s="89"/>
      <c r="C268" s="90"/>
    </row>
    <row r="269" spans="1:3" ht="13.05" customHeight="1">
      <c r="A269" s="88"/>
      <c r="B269" s="89"/>
      <c r="C269" s="90"/>
    </row>
    <row r="270" spans="1:3" ht="13.05" customHeight="1">
      <c r="A270" s="88"/>
      <c r="B270" s="89"/>
      <c r="C270" s="90"/>
    </row>
    <row r="271" spans="1:3" ht="13.05" customHeight="1">
      <c r="A271" s="88"/>
      <c r="B271" s="89"/>
      <c r="C271" s="90"/>
    </row>
    <row r="272" spans="1:3" ht="13.05" customHeight="1">
      <c r="A272" s="88"/>
      <c r="B272" s="89"/>
      <c r="C272" s="90"/>
    </row>
    <row r="273" spans="1:3" ht="13.05" customHeight="1">
      <c r="A273" s="88"/>
      <c r="B273" s="89"/>
      <c r="C273" s="90"/>
    </row>
    <row r="274" spans="1:3" ht="13.05" customHeight="1">
      <c r="A274" s="88"/>
      <c r="B274" s="89"/>
      <c r="C274" s="90"/>
    </row>
    <row r="275" spans="1:3" ht="13.05" customHeight="1">
      <c r="A275" s="88"/>
      <c r="B275" s="89"/>
      <c r="C275" s="90"/>
    </row>
    <row r="276" spans="1:3" ht="13.05" customHeight="1">
      <c r="A276" s="88"/>
      <c r="B276" s="89"/>
      <c r="C276" s="90"/>
    </row>
    <row r="277" spans="1:3" ht="13.05" customHeight="1">
      <c r="A277" s="88"/>
      <c r="B277" s="89"/>
      <c r="C277" s="90"/>
    </row>
    <row r="278" spans="1:3" ht="13.05" customHeight="1">
      <c r="A278" s="88"/>
      <c r="B278" s="89"/>
      <c r="C278" s="90"/>
    </row>
    <row r="279" spans="1:3" ht="13.05" customHeight="1">
      <c r="A279" s="88"/>
      <c r="B279" s="89"/>
      <c r="C279" s="90"/>
    </row>
    <row r="280" spans="1:3" ht="13.05" customHeight="1">
      <c r="A280" s="88"/>
      <c r="B280" s="89"/>
      <c r="C280" s="90"/>
    </row>
    <row r="281" spans="1:3" ht="13.05" customHeight="1">
      <c r="A281" s="88"/>
      <c r="B281" s="89"/>
      <c r="C281" s="90"/>
    </row>
    <row r="282" spans="1:3" ht="13.05" customHeight="1">
      <c r="A282" s="88"/>
      <c r="B282" s="89"/>
      <c r="C282" s="90"/>
    </row>
    <row r="283" spans="1:3" ht="13.05" customHeight="1">
      <c r="A283" s="88"/>
      <c r="B283" s="89"/>
      <c r="C283" s="90"/>
    </row>
    <row r="284" spans="1:3" ht="13.05" customHeight="1">
      <c r="A284" s="88"/>
      <c r="B284" s="89"/>
      <c r="C284" s="90"/>
    </row>
    <row r="285" spans="1:3" ht="13.05" customHeight="1">
      <c r="A285" s="88"/>
      <c r="B285" s="89"/>
      <c r="C285" s="90"/>
    </row>
    <row r="286" spans="1:3" ht="13.05" customHeight="1">
      <c r="A286" s="88"/>
      <c r="B286" s="89"/>
      <c r="C286" s="90"/>
    </row>
    <row r="287" spans="1:3" ht="13.05" customHeight="1">
      <c r="A287" s="88"/>
      <c r="B287" s="89"/>
      <c r="C287" s="90"/>
    </row>
    <row r="288" spans="1:3" ht="13.05" customHeight="1">
      <c r="A288" s="88"/>
      <c r="B288" s="89"/>
      <c r="C288" s="90"/>
    </row>
    <row r="289" spans="1:3" ht="13.05" customHeight="1">
      <c r="A289" s="88"/>
      <c r="B289" s="89"/>
      <c r="C289" s="90"/>
    </row>
    <row r="290" spans="1:3" ht="13.05" customHeight="1">
      <c r="A290" s="88"/>
      <c r="B290" s="89"/>
      <c r="C290" s="90"/>
    </row>
    <row r="291" spans="1:3" ht="13.05" customHeight="1">
      <c r="A291" s="88"/>
      <c r="B291" s="89"/>
      <c r="C291" s="90"/>
    </row>
    <row r="292" spans="1:3" ht="13.05" customHeight="1">
      <c r="A292" s="88"/>
      <c r="B292" s="89"/>
      <c r="C292" s="90"/>
    </row>
    <row r="293" spans="1:3" ht="13.05" customHeight="1">
      <c r="A293" s="88"/>
      <c r="B293" s="89"/>
      <c r="C293" s="90"/>
    </row>
    <row r="294" spans="1:3" ht="13.05" customHeight="1">
      <c r="A294" s="88"/>
      <c r="B294" s="89"/>
      <c r="C294" s="90"/>
    </row>
    <row r="295" spans="1:3" ht="13.05" customHeight="1">
      <c r="A295" s="88"/>
      <c r="B295" s="89"/>
      <c r="C295" s="90"/>
    </row>
    <row r="296" spans="1:3" ht="13.05" customHeight="1">
      <c r="A296" s="88"/>
      <c r="B296" s="89"/>
      <c r="C296" s="90"/>
    </row>
    <row r="297" spans="1:3" ht="13.05" customHeight="1">
      <c r="A297" s="88"/>
      <c r="B297" s="89"/>
      <c r="C297" s="90"/>
    </row>
    <row r="298" spans="1:3" ht="13.05" customHeight="1">
      <c r="A298" s="88"/>
      <c r="B298" s="89"/>
      <c r="C298" s="90"/>
    </row>
    <row r="299" spans="1:3" ht="13.05" customHeight="1">
      <c r="A299" s="88"/>
      <c r="B299" s="89"/>
      <c r="C299" s="90"/>
    </row>
    <row r="300" spans="1:3" ht="13.05" customHeight="1">
      <c r="A300" s="88"/>
      <c r="B300" s="89"/>
      <c r="C300" s="90"/>
    </row>
    <row r="301" spans="1:3" ht="13.05" customHeight="1">
      <c r="A301" s="88"/>
      <c r="B301" s="89"/>
      <c r="C301" s="90"/>
    </row>
    <row r="302" spans="1:3" ht="13.05" customHeight="1">
      <c r="A302" s="88"/>
      <c r="B302" s="89"/>
      <c r="C302" s="90"/>
    </row>
    <row r="303" spans="1:3" ht="13.05" customHeight="1">
      <c r="A303" s="88"/>
      <c r="B303" s="89"/>
      <c r="C303" s="90"/>
    </row>
    <row r="304" spans="1:3" ht="13.05" customHeight="1">
      <c r="A304" s="88"/>
      <c r="B304" s="89"/>
      <c r="C304" s="90"/>
    </row>
    <row r="305" spans="1:3" ht="13.05" customHeight="1">
      <c r="A305" s="88"/>
      <c r="B305" s="89"/>
      <c r="C305" s="90"/>
    </row>
    <row r="306" spans="1:3" ht="13.05" customHeight="1">
      <c r="A306" s="88"/>
      <c r="B306" s="89"/>
      <c r="C306" s="90"/>
    </row>
    <row r="307" spans="1:3" ht="13.05" customHeight="1">
      <c r="A307" s="88"/>
      <c r="B307" s="89"/>
      <c r="C307" s="90"/>
    </row>
    <row r="308" spans="1:3" ht="13.05" customHeight="1">
      <c r="A308" s="88"/>
      <c r="B308" s="89"/>
      <c r="C308" s="90"/>
    </row>
    <row r="309" spans="1:3" ht="13.05" customHeight="1">
      <c r="A309" s="88"/>
      <c r="B309" s="89"/>
      <c r="C309" s="90"/>
    </row>
    <row r="310" spans="1:3" ht="13.05" customHeight="1">
      <c r="A310" s="88"/>
      <c r="B310" s="89"/>
      <c r="C310" s="90"/>
    </row>
    <row r="311" spans="1:3" ht="13.05" customHeight="1">
      <c r="A311" s="88"/>
      <c r="B311" s="89"/>
      <c r="C311" s="90"/>
    </row>
    <row r="312" spans="1:3" ht="13.05" customHeight="1">
      <c r="A312" s="88"/>
      <c r="B312" s="89"/>
      <c r="C312" s="90"/>
    </row>
    <row r="313" spans="1:3" ht="13.05" customHeight="1">
      <c r="A313" s="88"/>
      <c r="B313" s="89"/>
      <c r="C313" s="90"/>
    </row>
    <row r="314" spans="1:3" ht="13.05" customHeight="1">
      <c r="A314" s="88"/>
      <c r="B314" s="89"/>
      <c r="C314" s="90"/>
    </row>
    <row r="315" spans="1:3" ht="13.05" customHeight="1">
      <c r="A315" s="88"/>
      <c r="B315" s="89"/>
      <c r="C315" s="90"/>
    </row>
    <row r="316" spans="1:3" ht="13.05" customHeight="1">
      <c r="A316" s="88"/>
      <c r="B316" s="89"/>
      <c r="C316" s="90"/>
    </row>
    <row r="317" spans="1:3" ht="13.05" customHeight="1">
      <c r="A317" s="88"/>
      <c r="B317" s="89"/>
      <c r="C317" s="90"/>
    </row>
    <row r="318" spans="1:3" ht="13.05" customHeight="1">
      <c r="A318" s="88"/>
      <c r="B318" s="89"/>
      <c r="C318" s="90"/>
    </row>
    <row r="319" spans="1:3" ht="13.05" customHeight="1">
      <c r="A319" s="88"/>
      <c r="B319" s="89"/>
      <c r="C319" s="90"/>
    </row>
    <row r="320" spans="1:3" ht="13.05" customHeight="1">
      <c r="A320" s="88"/>
      <c r="B320" s="89"/>
      <c r="C320" s="90"/>
    </row>
    <row r="321" spans="1:3" ht="13.05" customHeight="1">
      <c r="A321" s="88"/>
      <c r="B321" s="89"/>
      <c r="C321" s="90"/>
    </row>
    <row r="322" spans="1:3" ht="13.05" customHeight="1">
      <c r="A322" s="88"/>
      <c r="B322" s="89"/>
      <c r="C322" s="90"/>
    </row>
    <row r="323" spans="1:3" ht="13.05" customHeight="1">
      <c r="A323" s="88"/>
      <c r="B323" s="89"/>
      <c r="C323" s="90"/>
    </row>
    <row r="324" spans="1:3" ht="13.05" customHeight="1">
      <c r="A324" s="88"/>
      <c r="B324" s="89"/>
      <c r="C324" s="90"/>
    </row>
    <row r="325" spans="1:3" ht="13.05" customHeight="1">
      <c r="A325" s="88"/>
      <c r="B325" s="89"/>
      <c r="C325" s="90"/>
    </row>
    <row r="326" spans="1:3" ht="13.05" customHeight="1">
      <c r="A326" s="88"/>
      <c r="B326" s="89"/>
      <c r="C326" s="90"/>
    </row>
    <row r="327" spans="1:3" ht="13.05" customHeight="1">
      <c r="A327" s="88"/>
      <c r="B327" s="89"/>
      <c r="C327" s="90"/>
    </row>
    <row r="328" spans="1:3" ht="13.05" customHeight="1">
      <c r="A328" s="88"/>
      <c r="B328" s="89"/>
      <c r="C328" s="90"/>
    </row>
    <row r="329" spans="1:3" ht="13.05" customHeight="1">
      <c r="A329" s="88"/>
      <c r="B329" s="89"/>
      <c r="C329" s="90"/>
    </row>
    <row r="330" spans="1:3" ht="13.05" customHeight="1">
      <c r="A330" s="88"/>
      <c r="B330" s="89"/>
      <c r="C330" s="90"/>
    </row>
    <row r="331" spans="1:3" ht="13.05" customHeight="1">
      <c r="A331" s="88"/>
      <c r="B331" s="89"/>
      <c r="C331" s="90"/>
    </row>
  </sheetData>
  <sheetProtection selectLockedCells="1"/>
  <mergeCells count="14">
    <mergeCell ref="C15:F15"/>
    <mergeCell ref="A1:G1"/>
    <mergeCell ref="C4:F4"/>
    <mergeCell ref="C5:F5"/>
    <mergeCell ref="C6:F6"/>
    <mergeCell ref="C7:F7"/>
    <mergeCell ref="C13:F13"/>
    <mergeCell ref="C14:F14"/>
    <mergeCell ref="C3:F3"/>
    <mergeCell ref="C8:F8"/>
    <mergeCell ref="C9:F9"/>
    <mergeCell ref="C10:F10"/>
    <mergeCell ref="C11:F11"/>
    <mergeCell ref="C12:F12"/>
  </mergeCells>
  <conditionalFormatting sqref="D20:G20">
    <cfRule type="containsText" dxfId="36" priority="9" operator="containsText" text="maximum discount">
      <formula>NOT(ISERROR(SEARCH("maximum discount",D20)))</formula>
    </cfRule>
  </conditionalFormatting>
  <conditionalFormatting sqref="F21">
    <cfRule type="containsText" dxfId="35" priority="8" operator="containsText" text="maximum discount">
      <formula>NOT(ISERROR(SEARCH("maximum discount",F21)))</formula>
    </cfRule>
  </conditionalFormatting>
  <conditionalFormatting sqref="F22">
    <cfRule type="containsText" dxfId="34" priority="7" operator="containsText" text="maximum discount">
      <formula>NOT(ISERROR(SEARCH("maximum discount",F22)))</formula>
    </cfRule>
  </conditionalFormatting>
  <conditionalFormatting sqref="E18:G18">
    <cfRule type="expression" dxfId="33" priority="6">
      <formula>$G$18=$C$20</formula>
    </cfRule>
  </conditionalFormatting>
  <conditionalFormatting sqref="E19:G19">
    <cfRule type="expression" dxfId="32" priority="5">
      <formula>$G$19=$C$20</formula>
    </cfRule>
  </conditionalFormatting>
  <conditionalFormatting sqref="E20:G20">
    <cfRule type="expression" dxfId="31" priority="4">
      <formula>$G$20=$C$20</formula>
    </cfRule>
  </conditionalFormatting>
  <conditionalFormatting sqref="E21:G21">
    <cfRule type="expression" dxfId="30" priority="2">
      <formula>$G$21=$C$20</formula>
    </cfRule>
  </conditionalFormatting>
  <conditionalFormatting sqref="E22:G22">
    <cfRule type="expression" dxfId="29" priority="1">
      <formula>$G$22=$C$20</formula>
    </cfRule>
  </conditionalFormatting>
  <pageMargins left="0.24791666666666698" right="0.24791666666666698" top="0.39374999999999999" bottom="0.39374999999999999" header="0" footer="0"/>
  <pageSetup scale="67" fitToHeight="0"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mptyHidden.emptyHidden">
                <anchor>
                  <from>
                    <xdr:col>8</xdr:col>
                    <xdr:colOff>228600</xdr:colOff>
                    <xdr:row>0</xdr:row>
                    <xdr:rowOff>144780</xdr:rowOff>
                  </from>
                  <to>
                    <xdr:col>9</xdr:col>
                    <xdr:colOff>449580</xdr:colOff>
                    <xdr:row>0</xdr:row>
                    <xdr:rowOff>998220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quantityDelete_2.quantityDelete_2">
                <anchor moveWithCells="1" sizeWithCells="1">
                  <from>
                    <xdr:col>11</xdr:col>
                    <xdr:colOff>236220</xdr:colOff>
                    <xdr:row>0</xdr:row>
                    <xdr:rowOff>152400</xdr:rowOff>
                  </from>
                  <to>
                    <xdr:col>13</xdr:col>
                    <xdr:colOff>0</xdr:colOff>
                    <xdr:row>0</xdr:row>
                    <xdr:rowOff>975360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equal" id="{C166AA5A-5841-4526-95DE-320366EC88C0}">
            <xm:f>знижки!$C$7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ellIs" priority="17" operator="equal" id="{E3A0E3ED-EDD6-422B-A009-73CAAE1DDD68}">
            <xm:f>знижки!$C$6</xm:f>
            <x14:dxf>
              <font>
                <b/>
                <i val="0"/>
              </font>
              <fill>
                <patternFill>
                  <bgColor theme="7" tint="0.39994506668294322"/>
                </patternFill>
              </fill>
            </x14:dxf>
          </x14:cfRule>
          <x14:cfRule type="cellIs" priority="20" operator="equal" id="{44936CEE-8E78-4B99-89C3-E66E19490304}">
            <xm:f>знижки!$C$5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14:cfRule type="cellIs" priority="21" operator="equal" id="{56E9A57D-8351-47C4-90AD-91CE765A7E6A}">
            <xm:f>знижки!$C$4</xm:f>
            <x14:dxf>
              <font>
                <b/>
                <i val="0"/>
                <color theme="1"/>
              </font>
              <fill>
                <patternFill>
                  <bgColor theme="0" tint="-0.14996795556505021"/>
                </patternFill>
              </fill>
            </x14:dxf>
          </x14:cfRule>
          <x14:cfRule type="cellIs" priority="22" operator="equal" id="{B3C344BC-A418-4A0A-B393-303CCC3621B5}">
            <xm:f>знижки!C$3</xm:f>
            <x14:dxf>
              <font>
                <b/>
                <i val="0"/>
                <color auto="1"/>
              </font>
              <fill>
                <patternFill>
                  <bgColor rgb="FF92D050"/>
                </patternFill>
              </fill>
            </x14:dxf>
          </x14:cfRule>
          <x14:cfRule type="cellIs" priority="23" operator="equal" id="{80AEDE2C-9041-4EEA-804C-EAB5B410BBA8}">
            <xm:f>знижки!$C$2</xm:f>
            <x14:dxf>
              <font>
                <b/>
                <i val="0"/>
                <color auto="1"/>
              </font>
              <fill>
                <patternFill>
                  <bgColor theme="0" tint="-4.9989318521683403E-2"/>
                </patternFill>
              </fill>
            </x14:dxf>
          </x14:cfRule>
          <xm:sqref>C20</xm:sqref>
        </x14:conditionalFormatting>
        <x14:conditionalFormatting xmlns:xm="http://schemas.microsoft.com/office/excel/2006/main">
          <x14:cfRule type="expression" priority="10" id="{C38E6C2C-0F41-495A-AE1C-3B4001B279B2}">
            <xm:f>$C$20=знижки!$C$7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expression" priority="11" id="{3363F9F4-F08C-43C8-8F05-FFA76453D4C8}">
            <xm:f>$C$20=знижки!$C$6</xm:f>
            <x14:dxf>
              <font>
                <b/>
                <i val="0"/>
              </font>
              <fill>
                <patternFill>
                  <bgColor theme="7" tint="0.39994506668294322"/>
                </patternFill>
              </fill>
            </x14:dxf>
          </x14:cfRule>
          <x14:cfRule type="expression" priority="12" id="{F0C20812-6A62-4915-9790-384D8359D373}">
            <xm:f>$C$20=знижки!$C$5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14:cfRule type="expression" priority="13" id="{7DEF7AF4-99AE-49D0-B5CA-F4831262088B}">
            <xm:f>$C$20=знижки!$C$4</xm:f>
            <x14:dxf>
              <font>
                <b/>
                <i val="0"/>
              </font>
              <fill>
                <patternFill>
                  <bgColor theme="0" tint="-0.14996795556505021"/>
                </patternFill>
              </fill>
            </x14:dxf>
          </x14:cfRule>
          <x14:cfRule type="expression" priority="14" id="{06DDE870-812D-4C00-808E-9EF88C6E9B1B}">
            <xm:f>$C$20=знижки!$C$3</xm:f>
            <x14:dxf>
              <font>
                <b/>
                <i val="0"/>
              </font>
              <fill>
                <patternFill>
                  <bgColor rgb="FF92D050"/>
                </patternFill>
              </fill>
            </x14:dxf>
          </x14:cfRule>
          <x14:cfRule type="expression" priority="15" id="{BC912795-7EE6-4FB9-AF13-8EEFE23ECA59}">
            <xm:f>$C$20=знижки!$C$2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C22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F0"/>
  </sheetPr>
  <dimension ref="A1:J10"/>
  <sheetViews>
    <sheetView workbookViewId="0"/>
  </sheetViews>
  <sheetFormatPr defaultRowHeight="14.4"/>
  <cols>
    <col min="1" max="1" width="10.44140625" style="2" customWidth="1"/>
    <col min="2" max="2" width="10.109375" style="2" customWidth="1"/>
    <col min="3" max="3" width="11.44140625" style="2" customWidth="1"/>
    <col min="4" max="4" width="8.88671875" customWidth="1"/>
    <col min="5" max="5" width="8.88671875" style="1" customWidth="1"/>
    <col min="7" max="8" width="8.88671875" style="1"/>
    <col min="10" max="10" width="65.21875" customWidth="1"/>
  </cols>
  <sheetData>
    <row r="1" spans="1:10" s="4" customFormat="1" ht="41.4" customHeight="1">
      <c r="A1" s="3" t="s">
        <v>2</v>
      </c>
      <c r="B1" s="3" t="s">
        <v>3</v>
      </c>
      <c r="C1" s="3" t="s">
        <v>4</v>
      </c>
      <c r="D1" s="3" t="s">
        <v>33</v>
      </c>
      <c r="E1" s="3"/>
      <c r="F1" s="8" t="s">
        <v>11</v>
      </c>
      <c r="G1" s="8" t="s">
        <v>12</v>
      </c>
      <c r="H1" s="10"/>
    </row>
    <row r="2" spans="1:10" ht="24.6" customHeight="1">
      <c r="A2" s="2">
        <v>0</v>
      </c>
      <c r="B2" s="2">
        <v>499</v>
      </c>
      <c r="C2" s="5">
        <v>0</v>
      </c>
      <c r="D2" s="2" t="s">
        <v>32</v>
      </c>
      <c r="E2" s="2"/>
      <c r="F2" s="9">
        <f>MAX(C:C)</f>
        <v>0.55000000000000004</v>
      </c>
      <c r="G2" s="9">
        <f>MIN(C:C)</f>
        <v>0</v>
      </c>
      <c r="H2" s="11"/>
      <c r="J2" s="12"/>
    </row>
    <row r="3" spans="1:10">
      <c r="A3" s="22">
        <v>500</v>
      </c>
      <c r="B3" s="22">
        <v>999</v>
      </c>
      <c r="C3" s="5">
        <v>0.2</v>
      </c>
      <c r="D3" s="2" t="s">
        <v>22</v>
      </c>
      <c r="E3" s="2"/>
    </row>
    <row r="4" spans="1:10">
      <c r="A4" s="22">
        <v>1000</v>
      </c>
      <c r="B4" s="22">
        <v>2999</v>
      </c>
      <c r="C4" s="5">
        <v>0.4</v>
      </c>
      <c r="D4" s="2" t="s">
        <v>23</v>
      </c>
      <c r="E4" s="2"/>
    </row>
    <row r="5" spans="1:10">
      <c r="A5" s="22">
        <v>3000</v>
      </c>
      <c r="B5" s="22">
        <v>4999</v>
      </c>
      <c r="C5" s="5">
        <v>0.45</v>
      </c>
      <c r="D5" s="2" t="s">
        <v>24</v>
      </c>
      <c r="E5" s="2"/>
    </row>
    <row r="6" spans="1:10">
      <c r="A6" s="22">
        <v>5000</v>
      </c>
      <c r="B6" s="22">
        <v>9999</v>
      </c>
      <c r="C6" s="5">
        <v>0.5</v>
      </c>
      <c r="D6" s="2" t="s">
        <v>25</v>
      </c>
      <c r="E6" s="2"/>
    </row>
    <row r="7" spans="1:10">
      <c r="A7" s="22">
        <v>10000</v>
      </c>
      <c r="B7" s="22"/>
      <c r="C7" s="5">
        <v>0.55000000000000004</v>
      </c>
      <c r="D7" s="2" t="s">
        <v>26</v>
      </c>
      <c r="E7" s="2"/>
    </row>
    <row r="10" spans="1:10">
      <c r="C10" s="7"/>
    </row>
  </sheetData>
  <sheetProtection formatCells="0" selectLockedCells="1" selectUnlockedCells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Price_list</vt:lpstr>
      <vt:lpstr>знижки</vt:lpstr>
      <vt:lpstr>Price_list!Заголовки_для_печати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2023-01-07T18:22:48Z</dcterms:modified>
</cp:coreProperties>
</file>